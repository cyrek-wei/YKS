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dae\Documents\YKS\stats\"/>
    </mc:Choice>
  </mc:AlternateContent>
  <xr:revisionPtr revIDLastSave="0" documentId="13_ncr:1_{01EC5EBB-4508-47A6-976B-3C849ED1462C}" xr6:coauthVersionLast="47" xr6:coauthVersionMax="47" xr10:uidLastSave="{00000000-0000-0000-0000-000000000000}"/>
  <bookViews>
    <workbookView xWindow="-120" yWindow="-120" windowWidth="29040" windowHeight="16440" activeTab="5" xr2:uid="{00000000-000D-0000-FFFF-FFFF00000000}"/>
  </bookViews>
  <sheets>
    <sheet name="TYT" sheetId="1" r:id="rId1"/>
    <sheet name="barispol" sheetId="3" r:id="rId2"/>
    <sheet name="barisilkon" sheetId="4" r:id="rId3"/>
    <sheet name="barikfonk" sheetId="5" r:id="rId4"/>
    <sheet name="3d db" sheetId="6" r:id="rId5"/>
    <sheet name="ESŞ TYT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8" l="1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2" i="8"/>
  <c r="F32" i="8"/>
  <c r="H23" i="1"/>
  <c r="K23" i="1"/>
  <c r="N23" i="1"/>
  <c r="Q23" i="1"/>
  <c r="T23" i="1"/>
  <c r="W23" i="1"/>
  <c r="AC23" i="1"/>
  <c r="Z23" i="1"/>
  <c r="AF23" i="1"/>
  <c r="G32" i="6"/>
  <c r="G21" i="5"/>
  <c r="G21" i="4"/>
  <c r="G21" i="3"/>
  <c r="AF8" i="1"/>
  <c r="AE3" i="1" a="1"/>
  <c r="AE3" i="1" s="1"/>
  <c r="AE4" i="1" a="1"/>
  <c r="AE4" i="1" s="1"/>
  <c r="AE5" i="1" a="1"/>
  <c r="AE5" i="1" s="1"/>
  <c r="AE6" i="1" a="1"/>
  <c r="AE6" i="1" s="1"/>
  <c r="AE7" i="1" a="1"/>
  <c r="AE7" i="1" s="1"/>
  <c r="AD3" i="1" a="1"/>
  <c r="AD3" i="1" s="1"/>
  <c r="AD4" i="1" a="1"/>
  <c r="AD4" i="1" s="1"/>
  <c r="AD5" i="1" a="1"/>
  <c r="AD5" i="1" s="1"/>
  <c r="AF5" i="1" s="1"/>
  <c r="AD6" i="1" a="1"/>
  <c r="AD6" i="1" s="1"/>
  <c r="AD7" i="1" a="1"/>
  <c r="AD7" i="1" s="1"/>
  <c r="AD8" i="1" a="1"/>
  <c r="AD8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3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F2" i="3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2" i="6" s="1"/>
  <c r="F31" i="6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3" i="3"/>
  <c r="F21" i="5"/>
  <c r="F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AD20" i="1" a="1"/>
  <c r="AD20" i="1" s="1"/>
  <c r="AE8" i="1" a="1"/>
  <c r="AE8" i="1" s="1"/>
  <c r="AE9" i="1" a="1"/>
  <c r="AE9" i="1" s="1"/>
  <c r="AE10" i="1" a="1"/>
  <c r="AE10" i="1" s="1"/>
  <c r="AE11" i="1" a="1"/>
  <c r="AE11" i="1" s="1"/>
  <c r="AE12" i="1" a="1"/>
  <c r="AE12" i="1" s="1"/>
  <c r="AE13" i="1" a="1"/>
  <c r="AE13" i="1" s="1"/>
  <c r="AE14" i="1" a="1"/>
  <c r="AE14" i="1" s="1"/>
  <c r="AE15" i="1" a="1"/>
  <c r="AE15" i="1" s="1"/>
  <c r="AE16" i="1" a="1"/>
  <c r="AE16" i="1" s="1"/>
  <c r="AE17" i="1" a="1"/>
  <c r="AE17" i="1" s="1"/>
  <c r="AE18" i="1" a="1"/>
  <c r="AE18" i="1" s="1"/>
  <c r="AE19" i="1" a="1"/>
  <c r="AE19" i="1" s="1"/>
  <c r="AE20" i="1" a="1"/>
  <c r="AE20" i="1" s="1"/>
  <c r="AE21" i="1" a="1"/>
  <c r="AE21" i="1" s="1"/>
  <c r="AE22" i="1" a="1"/>
  <c r="AE22" i="1" s="1"/>
  <c r="AD9" i="1" a="1"/>
  <c r="AD9" i="1" s="1"/>
  <c r="AD10" i="1" a="1"/>
  <c r="AD10" i="1" s="1"/>
  <c r="AD11" i="1" a="1"/>
  <c r="AD11" i="1" s="1"/>
  <c r="AD12" i="1" a="1"/>
  <c r="AD12" i="1" s="1"/>
  <c r="AD13" i="1" a="1"/>
  <c r="AD13" i="1" s="1"/>
  <c r="AD14" i="1" a="1"/>
  <c r="AD14" i="1" s="1"/>
  <c r="AD15" i="1" a="1"/>
  <c r="AD15" i="1" s="1"/>
  <c r="AD16" i="1" a="1"/>
  <c r="AD16" i="1" s="1"/>
  <c r="AD17" i="1" a="1"/>
  <c r="AD17" i="1" s="1"/>
  <c r="AD18" i="1" a="1"/>
  <c r="AD18" i="1" s="1"/>
  <c r="AD19" i="1" a="1"/>
  <c r="AD19" i="1" s="1"/>
  <c r="AD21" i="1" a="1"/>
  <c r="AD21" i="1" s="1"/>
  <c r="AD22" i="1" a="1"/>
  <c r="AD22" i="1" s="1"/>
  <c r="AF7" i="1" l="1"/>
  <c r="AF6" i="1"/>
  <c r="AF4" i="1"/>
  <c r="AF3" i="1"/>
  <c r="AF13" i="1"/>
  <c r="AF22" i="1"/>
  <c r="AF9" i="1"/>
  <c r="AF17" i="1"/>
  <c r="AF12" i="1"/>
  <c r="AF11" i="1"/>
  <c r="AF21" i="1"/>
  <c r="AF10" i="1"/>
  <c r="AF16" i="1"/>
  <c r="AF14" i="1"/>
  <c r="AF19" i="1"/>
  <c r="AF18" i="1"/>
  <c r="AF15" i="1"/>
  <c r="AF20" i="1"/>
  <c r="F21" i="3"/>
  <c r="E32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<sst xmlns="http://schemas.openxmlformats.org/spreadsheetml/2006/main" count="254" uniqueCount="116">
  <si>
    <t>Y</t>
  </si>
  <si>
    <t>N</t>
  </si>
  <si>
    <t>B</t>
  </si>
  <si>
    <t>Deneme</t>
  </si>
  <si>
    <t>Toplam</t>
  </si>
  <si>
    <t>Türkçe</t>
  </si>
  <si>
    <t>Tarih</t>
  </si>
  <si>
    <t>Coğrafya</t>
  </si>
  <si>
    <t>Felsefe</t>
  </si>
  <si>
    <t>Din</t>
  </si>
  <si>
    <t>Tür</t>
  </si>
  <si>
    <t>Dogru</t>
  </si>
  <si>
    <t>Yanlış</t>
  </si>
  <si>
    <t>Boş</t>
  </si>
  <si>
    <t>Net</t>
  </si>
  <si>
    <t>Süre</t>
  </si>
  <si>
    <t>barış pol 1</t>
  </si>
  <si>
    <t>pol, 2°, i, eşitsizlik</t>
  </si>
  <si>
    <t>barış pol 2</t>
  </si>
  <si>
    <t>barış pol 3</t>
  </si>
  <si>
    <t>barış pol 4</t>
  </si>
  <si>
    <t>barış pol 5</t>
  </si>
  <si>
    <t>barış pol 6</t>
  </si>
  <si>
    <t>barış pol 7</t>
  </si>
  <si>
    <t>barış pol 8</t>
  </si>
  <si>
    <t>barış pol 9</t>
  </si>
  <si>
    <t>barış pol 10</t>
  </si>
  <si>
    <t>barış pol 11</t>
  </si>
  <si>
    <t>barış pol 12</t>
  </si>
  <si>
    <t>barış pol 13</t>
  </si>
  <si>
    <t>barış pol 14</t>
  </si>
  <si>
    <t>barış pol 15</t>
  </si>
  <si>
    <t>barış pol 16</t>
  </si>
  <si>
    <t>barış pol 17</t>
  </si>
  <si>
    <t>barış pol 18</t>
  </si>
  <si>
    <t>barış pol 19</t>
  </si>
  <si>
    <t>barış on 1</t>
  </si>
  <si>
    <t>ilk 10</t>
  </si>
  <si>
    <t>barış on 2</t>
  </si>
  <si>
    <t>barış on 3</t>
  </si>
  <si>
    <t>barış on 4</t>
  </si>
  <si>
    <t>barış on 5</t>
  </si>
  <si>
    <t>barış on 6</t>
  </si>
  <si>
    <t>barış on 7</t>
  </si>
  <si>
    <t>barış on 8</t>
  </si>
  <si>
    <t>barış on 9</t>
  </si>
  <si>
    <t>barış on 10</t>
  </si>
  <si>
    <t>barış on 11</t>
  </si>
  <si>
    <t>barış on 12</t>
  </si>
  <si>
    <t>barış on 13</t>
  </si>
  <si>
    <t>barış on 14</t>
  </si>
  <si>
    <t>barış on 15</t>
  </si>
  <si>
    <t>barış on 16</t>
  </si>
  <si>
    <t>barış on 17</t>
  </si>
  <si>
    <t>barış on 18</t>
  </si>
  <si>
    <t>barış on 19</t>
  </si>
  <si>
    <t>barış fonk 1</t>
  </si>
  <si>
    <t>fonk, log, dizi</t>
  </si>
  <si>
    <t>barış fonk 2</t>
  </si>
  <si>
    <t>barış fonk 3</t>
  </si>
  <si>
    <t>barış fonk 4</t>
  </si>
  <si>
    <t>barış fonk 5</t>
  </si>
  <si>
    <t>barış fonk 6</t>
  </si>
  <si>
    <t>barış fonk 7</t>
  </si>
  <si>
    <t>barış fonk 8</t>
  </si>
  <si>
    <t>barış fonk 9</t>
  </si>
  <si>
    <t>barış fonk 10</t>
  </si>
  <si>
    <t>barış fonk 11</t>
  </si>
  <si>
    <t>barış fonk 12</t>
  </si>
  <si>
    <t>barış fonk 13</t>
  </si>
  <si>
    <t>barış fonk 14</t>
  </si>
  <si>
    <t>barış fonk 15</t>
  </si>
  <si>
    <t>barış fonk 16</t>
  </si>
  <si>
    <t>barış fonk 17</t>
  </si>
  <si>
    <t>barış fonk 18</t>
  </si>
  <si>
    <t>barış fonk 19</t>
  </si>
  <si>
    <t>3Ddb-1</t>
  </si>
  <si>
    <t>db</t>
  </si>
  <si>
    <t>3Ddb-2</t>
  </si>
  <si>
    <t>3Ddb-3</t>
  </si>
  <si>
    <t>3Ddb-4</t>
  </si>
  <si>
    <t>3Ddb-5</t>
  </si>
  <si>
    <t>3Ddb-6</t>
  </si>
  <si>
    <t>3Ddb-7</t>
  </si>
  <si>
    <t>3Ddb-8</t>
  </si>
  <si>
    <t>3Ddb-9</t>
  </si>
  <si>
    <t>3Ddb-10</t>
  </si>
  <si>
    <t>3Ddb-11</t>
  </si>
  <si>
    <t>3Ddb-12</t>
  </si>
  <si>
    <t>3Ddb-13</t>
  </si>
  <si>
    <t>3Ddb-14</t>
  </si>
  <si>
    <t>3Ddb-15</t>
  </si>
  <si>
    <t>3Ddb-16</t>
  </si>
  <si>
    <t>3Ddb-17</t>
  </si>
  <si>
    <t>3Ddb-18</t>
  </si>
  <si>
    <t>3Ddb-19</t>
  </si>
  <si>
    <t>3Ddb-20</t>
  </si>
  <si>
    <t>3Ddb-21</t>
  </si>
  <si>
    <t>3Ddb-22</t>
  </si>
  <si>
    <t>3Ddb-23</t>
  </si>
  <si>
    <t>3Ddb-24</t>
  </si>
  <si>
    <t>3Ddb-25</t>
  </si>
  <si>
    <t>3Ddb-26</t>
  </si>
  <si>
    <t>3Ddb-27</t>
  </si>
  <si>
    <t>3Ddb-28</t>
  </si>
  <si>
    <t>3Ddb-29</t>
  </si>
  <si>
    <t>3Ddb-30</t>
  </si>
  <si>
    <t>Fizik</t>
  </si>
  <si>
    <t>Kimya</t>
  </si>
  <si>
    <t>Matematik</t>
  </si>
  <si>
    <t>Biyoloji</t>
  </si>
  <si>
    <t>Limit TYT 4</t>
  </si>
  <si>
    <t>Esen TYT 4</t>
  </si>
  <si>
    <t>Orbital 4</t>
  </si>
  <si>
    <t>345 TG</t>
  </si>
  <si>
    <t>ESEN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</si>
</sst>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0"/>
      <name val="Arial"/>
      <family val="2"/>
      <charset val="162"/>
    </font>
    <font>
      <sz val="9"/>
      <color theme="0"/>
      <name val="Aptos Narrow"/>
      <family val="2"/>
      <scheme val="minor"/>
    </font>
    <font>
      <sz val="9"/>
      <color theme="1" tint="0.14999847407452621"/>
      <name val="Aptos Narrow"/>
      <family val="2"/>
      <scheme val="minor"/>
    </font>
    <font>
      <sz val="9"/>
      <color theme="1" tint="4.9989318521683403E-2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FFFFFF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262626"/>
        <bgColor rgb="FF00000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5" borderId="2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2" fillId="3" borderId="0" xfId="0" applyFont="1" applyFill="1"/>
    <xf numFmtId="0" fontId="1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3" borderId="0" xfId="0" applyFont="1" applyFill="1"/>
    <xf numFmtId="0" fontId="3" fillId="2" borderId="8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 wrapText="1"/>
    </xf>
    <xf numFmtId="0" fontId="8" fillId="8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3F006-9565-4F9A-9F8B-75EDE2C2E9A4}">
  <dimension ref="A1:AF23"/>
  <sheetViews>
    <sheetView zoomScale="85" zoomScaleNormal="85" workbookViewId="0">
      <selection activeCell="E23" sqref="E23"/>
    </sheetView>
  </sheetViews>
  <sheetFormatPr defaultRowHeight="15" x14ac:dyDescent="0.25"/>
  <cols>
    <col min="1" max="1" width="6.42578125" style="4" customWidth="1"/>
    <col min="2" max="16384" width="9.140625" style="4"/>
  </cols>
  <sheetData>
    <row r="1" spans="1:32" ht="15" customHeight="1" x14ac:dyDescent="0.25">
      <c r="A1" s="14" t="s">
        <v>3</v>
      </c>
      <c r="B1" s="15"/>
      <c r="C1" s="19" t="s">
        <v>5</v>
      </c>
      <c r="D1" s="20"/>
      <c r="E1" s="18"/>
      <c r="F1" s="19" t="s">
        <v>6</v>
      </c>
      <c r="G1" s="20"/>
      <c r="H1" s="18"/>
      <c r="I1" s="19" t="s">
        <v>7</v>
      </c>
      <c r="J1" s="20"/>
      <c r="K1" s="18"/>
      <c r="L1" s="19" t="s">
        <v>8</v>
      </c>
      <c r="M1" s="20"/>
      <c r="N1" s="18"/>
      <c r="O1" s="19" t="s">
        <v>9</v>
      </c>
      <c r="P1" s="20"/>
      <c r="Q1" s="18"/>
      <c r="R1" s="19" t="s">
        <v>109</v>
      </c>
      <c r="S1" s="20"/>
      <c r="T1" s="18"/>
      <c r="U1" s="19" t="s">
        <v>107</v>
      </c>
      <c r="V1" s="20"/>
      <c r="W1" s="18"/>
      <c r="X1" s="19" t="s">
        <v>108</v>
      </c>
      <c r="Y1" s="20"/>
      <c r="Z1" s="18"/>
      <c r="AA1" s="19" t="s">
        <v>110</v>
      </c>
      <c r="AB1" s="20"/>
      <c r="AC1" s="18"/>
      <c r="AD1" s="19" t="s">
        <v>4</v>
      </c>
      <c r="AE1" s="20"/>
      <c r="AF1" s="18"/>
    </row>
    <row r="2" spans="1:32" ht="15" customHeight="1" x14ac:dyDescent="0.25">
      <c r="A2" s="16"/>
      <c r="B2" s="17"/>
      <c r="C2" s="1" t="s">
        <v>0</v>
      </c>
      <c r="D2" s="2" t="s">
        <v>2</v>
      </c>
      <c r="E2" s="3" t="s">
        <v>1</v>
      </c>
      <c r="F2" s="1" t="s">
        <v>0</v>
      </c>
      <c r="G2" s="2" t="s">
        <v>2</v>
      </c>
      <c r="H2" s="3" t="s">
        <v>1</v>
      </c>
      <c r="I2" s="1" t="s">
        <v>0</v>
      </c>
      <c r="J2" s="2" t="s">
        <v>2</v>
      </c>
      <c r="K2" s="3" t="s">
        <v>1</v>
      </c>
      <c r="L2" s="1" t="s">
        <v>0</v>
      </c>
      <c r="M2" s="2" t="s">
        <v>2</v>
      </c>
      <c r="N2" s="3" t="s">
        <v>1</v>
      </c>
      <c r="O2" s="1" t="s">
        <v>0</v>
      </c>
      <c r="P2" s="2" t="s">
        <v>2</v>
      </c>
      <c r="Q2" s="3" t="s">
        <v>1</v>
      </c>
      <c r="R2" s="1" t="s">
        <v>0</v>
      </c>
      <c r="S2" s="2" t="s">
        <v>2</v>
      </c>
      <c r="T2" s="3" t="s">
        <v>1</v>
      </c>
      <c r="U2" s="1" t="s">
        <v>0</v>
      </c>
      <c r="V2" s="2" t="s">
        <v>2</v>
      </c>
      <c r="W2" s="3" t="s">
        <v>1</v>
      </c>
      <c r="X2" s="1" t="s">
        <v>0</v>
      </c>
      <c r="Y2" s="2" t="s">
        <v>2</v>
      </c>
      <c r="Z2" s="3" t="s">
        <v>1</v>
      </c>
      <c r="AA2" s="1" t="s">
        <v>0</v>
      </c>
      <c r="AB2" s="2" t="s">
        <v>2</v>
      </c>
      <c r="AC2" s="3" t="s">
        <v>1</v>
      </c>
      <c r="AD2" s="1" t="s">
        <v>0</v>
      </c>
      <c r="AE2" s="2" t="s">
        <v>2</v>
      </c>
      <c r="AF2" s="3" t="s">
        <v>1</v>
      </c>
    </row>
    <row r="3" spans="1:32" x14ac:dyDescent="0.25">
      <c r="A3" s="21" t="s">
        <v>111</v>
      </c>
      <c r="B3" s="22"/>
      <c r="C3" s="5">
        <v>7</v>
      </c>
      <c r="D3" s="6"/>
      <c r="E3" s="7">
        <f t="shared" ref="E3:E22" si="0">IF(OR(D3&lt;&gt;"", C3&lt;&gt;""), 40 - D3 - 1.25 * C3, "")</f>
        <v>31.25</v>
      </c>
      <c r="F3" s="5">
        <v>1</v>
      </c>
      <c r="G3" s="6"/>
      <c r="H3" s="7">
        <f>IF(OR(G3&lt;&gt;"", F3&lt;&gt;""), 5 - G3 - 1.25 * F3, "")</f>
        <v>3.75</v>
      </c>
      <c r="I3" s="5">
        <v>2</v>
      </c>
      <c r="J3" s="6"/>
      <c r="K3" s="7">
        <f>IF(OR(J3&lt;&gt;"", I3&lt;&gt;""), 5 - J3 - 1.25 * I3, "")</f>
        <v>2.5</v>
      </c>
      <c r="L3" s="5">
        <v>1</v>
      </c>
      <c r="M3" s="6"/>
      <c r="N3" s="7">
        <f>IF(OR(M3&lt;&gt;"", L3&lt;&gt;""), 5 - M3 - 1.25 * L3, "")</f>
        <v>3.75</v>
      </c>
      <c r="O3" s="5">
        <v>2</v>
      </c>
      <c r="P3" s="6"/>
      <c r="Q3" s="7">
        <f>IF(OR(P3&lt;&gt;"", O3&lt;&gt;""), 5 - P3 - 1.25 * O3, "")</f>
        <v>2.5</v>
      </c>
      <c r="R3" s="5">
        <v>2</v>
      </c>
      <c r="S3" s="6"/>
      <c r="T3" s="7">
        <f t="shared" ref="T3:T22" si="1">IF(OR(S3&lt;&gt;"", R3&lt;&gt;""), 40 - S3 - 1.25 * R3, "")</f>
        <v>37.5</v>
      </c>
      <c r="U3" s="5">
        <v>0</v>
      </c>
      <c r="V3" s="6"/>
      <c r="W3" s="7">
        <f>IF(OR(V3&lt;&gt;"", U3&lt;&gt;""), 7 - V3 - 1.25 * U3, "")</f>
        <v>7</v>
      </c>
      <c r="X3" s="5">
        <v>1</v>
      </c>
      <c r="Y3" s="6"/>
      <c r="Z3" s="7">
        <f>IF(OR(Y3&lt;&gt;"", X3&lt;&gt;""), 7 - Y3 - 1.25 * X3, "")</f>
        <v>5.75</v>
      </c>
      <c r="AA3" s="5">
        <v>1</v>
      </c>
      <c r="AB3" s="6"/>
      <c r="AC3" s="7">
        <f>IF(OR(AB3&lt;&gt;"", AA3&lt;&gt;""), 6 - AB3 - 1.25 * AA3, "")</f>
        <v>4.75</v>
      </c>
      <c r="AD3" s="5" cm="1">
        <f t="array" ref="AD3">_xlfn.LET(
  _xlpm.vals, _xlfn._xlws.FILTER(C3:AA3, MOD(COLUMN(C3:AA3)-COLUMN(C3),3)=0),
  _xlpm.s, SUM(_xlpm.vals),
  IF(_xlpm.s=0, "", _xlpm.s)
)</f>
        <v>17</v>
      </c>
      <c r="AE3" s="5" t="str" cm="1">
        <f t="array" ref="AE3">_xlfn.LET(
  _xlpm.vals, _xlfn._xlws.FILTER(D3:AB3, MOD(COLUMN(D3:AB3)-COLUMN(D3),3)=0),
  _xlpm.s, SUM(_xlpm.vals),
  IF(_xlpm.s=0, "", _xlpm.s)
)</f>
        <v/>
      </c>
      <c r="AF3" s="7">
        <f t="shared" ref="AF3:AF22" si="2">IF(OR(AE3&lt;&gt;"", AD3&lt;&gt;""), 120 - IF(AE3="", 0, AE3) - 1.25 * IF(AD3="", 0, AD3), "")</f>
        <v>98.75</v>
      </c>
    </row>
    <row r="4" spans="1:32" x14ac:dyDescent="0.25">
      <c r="A4" s="21" t="s">
        <v>112</v>
      </c>
      <c r="B4" s="22"/>
      <c r="C4" s="5">
        <v>3</v>
      </c>
      <c r="D4" s="6"/>
      <c r="E4" s="7">
        <f t="shared" si="0"/>
        <v>36.25</v>
      </c>
      <c r="F4" s="5">
        <v>2</v>
      </c>
      <c r="G4" s="6"/>
      <c r="H4" s="7">
        <f t="shared" ref="H4:H22" si="3">IF(OR(G4&lt;&gt;"", F4&lt;&gt;""), 5 - G4 - 1.25 * F4, "")</f>
        <v>2.5</v>
      </c>
      <c r="I4" s="5">
        <v>2</v>
      </c>
      <c r="J4" s="6"/>
      <c r="K4" s="7">
        <f t="shared" ref="K4:K22" si="4">IF(OR(J4&lt;&gt;"", I4&lt;&gt;""), 5 - J4 - 1.25 * I4, "")</f>
        <v>2.5</v>
      </c>
      <c r="L4" s="5">
        <v>1</v>
      </c>
      <c r="M4" s="6"/>
      <c r="N4" s="7">
        <f t="shared" ref="N4:N22" si="5">IF(OR(M4&lt;&gt;"", L4&lt;&gt;""), 5 - M4 - 1.25 * L4, "")</f>
        <v>3.75</v>
      </c>
      <c r="O4" s="5">
        <v>1</v>
      </c>
      <c r="P4" s="6"/>
      <c r="Q4" s="7">
        <f t="shared" ref="Q4:Q22" si="6">IF(OR(P4&lt;&gt;"", O4&lt;&gt;""), 5 - P4 - 1.25 * O4, "")</f>
        <v>3.75</v>
      </c>
      <c r="R4" s="5">
        <v>5</v>
      </c>
      <c r="S4" s="6"/>
      <c r="T4" s="7">
        <f t="shared" si="1"/>
        <v>33.75</v>
      </c>
      <c r="U4" s="5">
        <v>0</v>
      </c>
      <c r="V4" s="6"/>
      <c r="W4" s="7">
        <f t="shared" ref="W4:W22" si="7">IF(OR(V4&lt;&gt;"", U4&lt;&gt;""), 7 - V4 - 1.25 * U4, "")</f>
        <v>7</v>
      </c>
      <c r="X4" s="5">
        <v>0</v>
      </c>
      <c r="Y4" s="6"/>
      <c r="Z4" s="7">
        <f t="shared" ref="Z4:Z22" si="8">IF(OR(Y4&lt;&gt;"", X4&lt;&gt;""), 7 - Y4 - 1.25 * X4, "")</f>
        <v>7</v>
      </c>
      <c r="AA4" s="5">
        <v>1</v>
      </c>
      <c r="AB4" s="6"/>
      <c r="AC4" s="7">
        <f t="shared" ref="AC4:AC22" si="9">IF(OR(AB4&lt;&gt;"", AA4&lt;&gt;""), 6 - AB4 - 1.25 * AA4, "")</f>
        <v>4.75</v>
      </c>
      <c r="AD4" s="5" cm="1">
        <f t="array" ref="AD4">_xlfn.LET(
  _xlpm.vals, _xlfn._xlws.FILTER(C4:AA4, MOD(COLUMN(C4:AA4)-COLUMN(C4),3)=0),
  _xlpm.s, SUM(_xlpm.vals),
  IF(_xlpm.s=0, "", _xlpm.s)
)</f>
        <v>15</v>
      </c>
      <c r="AE4" s="5" t="str" cm="1">
        <f t="array" ref="AE4">_xlfn.LET(
  _xlpm.vals, _xlfn._xlws.FILTER(D4:AB4, MOD(COLUMN(D4:AB4)-COLUMN(D4),3)=0),
  _xlpm.s, SUM(_xlpm.vals),
  IF(_xlpm.s=0, "", _xlpm.s)
)</f>
        <v/>
      </c>
      <c r="AF4" s="7">
        <f t="shared" si="2"/>
        <v>101.25</v>
      </c>
    </row>
    <row r="5" spans="1:32" x14ac:dyDescent="0.25">
      <c r="A5" s="21" t="s">
        <v>113</v>
      </c>
      <c r="B5" s="22"/>
      <c r="C5" s="5">
        <v>4</v>
      </c>
      <c r="D5" s="6"/>
      <c r="E5" s="7">
        <f t="shared" si="0"/>
        <v>35</v>
      </c>
      <c r="F5" s="5">
        <v>1</v>
      </c>
      <c r="G5" s="6"/>
      <c r="H5" s="7">
        <f t="shared" si="3"/>
        <v>3.75</v>
      </c>
      <c r="I5" s="5">
        <v>1</v>
      </c>
      <c r="J5" s="6"/>
      <c r="K5" s="7">
        <f t="shared" si="4"/>
        <v>3.75</v>
      </c>
      <c r="L5" s="5">
        <v>0</v>
      </c>
      <c r="M5" s="6"/>
      <c r="N5" s="7">
        <f t="shared" si="5"/>
        <v>5</v>
      </c>
      <c r="O5" s="5">
        <v>0</v>
      </c>
      <c r="P5" s="6"/>
      <c r="Q5" s="7">
        <f t="shared" si="6"/>
        <v>5</v>
      </c>
      <c r="R5" s="5">
        <v>3</v>
      </c>
      <c r="S5" s="6">
        <v>1</v>
      </c>
      <c r="T5" s="7">
        <f t="shared" si="1"/>
        <v>35.25</v>
      </c>
      <c r="U5" s="5">
        <v>2</v>
      </c>
      <c r="V5" s="6"/>
      <c r="W5" s="7">
        <f t="shared" si="7"/>
        <v>4.5</v>
      </c>
      <c r="X5" s="5">
        <v>0</v>
      </c>
      <c r="Y5" s="6"/>
      <c r="Z5" s="7">
        <f t="shared" si="8"/>
        <v>7</v>
      </c>
      <c r="AA5" s="5">
        <v>2</v>
      </c>
      <c r="AB5" s="6"/>
      <c r="AC5" s="7">
        <f t="shared" si="9"/>
        <v>3.5</v>
      </c>
      <c r="AD5" s="5" cm="1">
        <f t="array" ref="AD5">_xlfn.LET(
  _xlpm.vals, _xlfn._xlws.FILTER(C5:AA5, MOD(COLUMN(C5:AA5)-COLUMN(C5),3)=0),
  _xlpm.s, SUM(_xlpm.vals),
  IF(_xlpm.s=0, "", _xlpm.s)
)</f>
        <v>13</v>
      </c>
      <c r="AE5" s="5" cm="1">
        <f t="array" ref="AE5">_xlfn.LET(
  _xlpm.vals, _xlfn._xlws.FILTER(D5:AB5, MOD(COLUMN(D5:AB5)-COLUMN(D5),3)=0),
  _xlpm.s, SUM(_xlpm.vals),
  IF(_xlpm.s=0, "", _xlpm.s)
)</f>
        <v>1</v>
      </c>
      <c r="AF5" s="7">
        <f t="shared" si="2"/>
        <v>102.75</v>
      </c>
    </row>
    <row r="6" spans="1:32" x14ac:dyDescent="0.25">
      <c r="A6" s="21" t="s">
        <v>114</v>
      </c>
      <c r="B6" s="22"/>
      <c r="C6" s="5">
        <v>5</v>
      </c>
      <c r="D6" s="6"/>
      <c r="E6" s="7">
        <f t="shared" si="0"/>
        <v>33.75</v>
      </c>
      <c r="F6" s="5">
        <v>0</v>
      </c>
      <c r="G6" s="6"/>
      <c r="H6" s="7">
        <f t="shared" si="3"/>
        <v>5</v>
      </c>
      <c r="I6" s="5">
        <v>3</v>
      </c>
      <c r="J6" s="6"/>
      <c r="K6" s="7">
        <f t="shared" si="4"/>
        <v>1.25</v>
      </c>
      <c r="L6" s="5">
        <v>0</v>
      </c>
      <c r="M6" s="6"/>
      <c r="N6" s="7">
        <f t="shared" si="5"/>
        <v>5</v>
      </c>
      <c r="O6" s="5">
        <v>0</v>
      </c>
      <c r="P6" s="6"/>
      <c r="Q6" s="7">
        <f t="shared" si="6"/>
        <v>5</v>
      </c>
      <c r="R6" s="5">
        <v>5</v>
      </c>
      <c r="S6" s="6">
        <v>3</v>
      </c>
      <c r="T6" s="7">
        <f t="shared" si="1"/>
        <v>30.75</v>
      </c>
      <c r="U6" s="5">
        <v>1</v>
      </c>
      <c r="V6" s="6"/>
      <c r="W6" s="7">
        <f t="shared" si="7"/>
        <v>5.75</v>
      </c>
      <c r="X6" s="5">
        <v>0</v>
      </c>
      <c r="Y6" s="6"/>
      <c r="Z6" s="7">
        <f t="shared" si="8"/>
        <v>7</v>
      </c>
      <c r="AA6" s="5">
        <v>0</v>
      </c>
      <c r="AB6" s="6"/>
      <c r="AC6" s="7">
        <f t="shared" si="9"/>
        <v>6</v>
      </c>
      <c r="AD6" s="5" cm="1">
        <f t="array" ref="AD6">_xlfn.LET(
  _xlpm.vals, _xlfn._xlws.FILTER(C6:AA6, MOD(COLUMN(C6:AA6)-COLUMN(C6),3)=0),
  _xlpm.s, SUM(_xlpm.vals),
  IF(_xlpm.s=0, "", _xlpm.s)
)</f>
        <v>14</v>
      </c>
      <c r="AE6" s="5" cm="1">
        <f t="array" ref="AE6">_xlfn.LET(
  _xlpm.vals, _xlfn._xlws.FILTER(D6:AB6, MOD(COLUMN(D6:AB6)-COLUMN(D6),3)=0),
  _xlpm.s, SUM(_xlpm.vals),
  IF(_xlpm.s=0, "", _xlpm.s)
)</f>
        <v>3</v>
      </c>
      <c r="AF6" s="7">
        <f t="shared" si="2"/>
        <v>99.5</v>
      </c>
    </row>
    <row r="7" spans="1:32" x14ac:dyDescent="0.25">
      <c r="A7" s="21" t="s">
        <v>115</v>
      </c>
      <c r="B7" s="22"/>
      <c r="C7" s="5">
        <v>6</v>
      </c>
      <c r="D7" s="6"/>
      <c r="E7" s="7">
        <f t="shared" si="0"/>
        <v>32.5</v>
      </c>
      <c r="F7" s="5">
        <v>0</v>
      </c>
      <c r="G7" s="6"/>
      <c r="H7" s="7">
        <f t="shared" si="3"/>
        <v>5</v>
      </c>
      <c r="I7" s="5">
        <v>2</v>
      </c>
      <c r="J7" s="6"/>
      <c r="K7" s="7">
        <f t="shared" si="4"/>
        <v>2.5</v>
      </c>
      <c r="L7" s="5">
        <v>2</v>
      </c>
      <c r="M7" s="6"/>
      <c r="N7" s="7">
        <f t="shared" si="5"/>
        <v>2.5</v>
      </c>
      <c r="O7" s="5">
        <v>1</v>
      </c>
      <c r="P7" s="6"/>
      <c r="Q7" s="7">
        <f t="shared" si="6"/>
        <v>3.75</v>
      </c>
      <c r="R7" s="5">
        <v>6</v>
      </c>
      <c r="S7" s="6">
        <v>1</v>
      </c>
      <c r="T7" s="7">
        <f t="shared" si="1"/>
        <v>31.5</v>
      </c>
      <c r="U7" s="5">
        <v>2</v>
      </c>
      <c r="V7" s="6"/>
      <c r="W7" s="7">
        <f t="shared" si="7"/>
        <v>4.5</v>
      </c>
      <c r="X7" s="5">
        <v>0</v>
      </c>
      <c r="Y7" s="6"/>
      <c r="Z7" s="7">
        <f t="shared" si="8"/>
        <v>7</v>
      </c>
      <c r="AA7" s="5">
        <v>0</v>
      </c>
      <c r="AB7" s="6"/>
      <c r="AC7" s="7">
        <f t="shared" si="9"/>
        <v>6</v>
      </c>
      <c r="AD7" s="5" cm="1">
        <f t="array" ref="AD7">_xlfn.LET(
  _xlpm.vals, _xlfn._xlws.FILTER(C7:AA7, MOD(COLUMN(C7:AA7)-COLUMN(C7),3)=0),
  _xlpm.s, SUM(_xlpm.vals),
  IF(_xlpm.s=0, "", _xlpm.s)
)</f>
        <v>19</v>
      </c>
      <c r="AE7" s="5" cm="1">
        <f t="array" ref="AE7">_xlfn.LET(
  _xlpm.vals, _xlfn._xlws.FILTER(D7:AB7, MOD(COLUMN(D7:AB7)-COLUMN(D7),3)=0),
  _xlpm.s, SUM(_xlpm.vals),
  IF(_xlpm.s=0, "", _xlpm.s)
)</f>
        <v>1</v>
      </c>
      <c r="AF7" s="7">
        <f>IF(OR(AE7&lt;&gt;"", AD7&lt;&gt;""), 120 - IF(AE7="", 0, AE7) - 1.25 * IF(AD7="", 0, AD7), "")</f>
        <v>95.25</v>
      </c>
    </row>
    <row r="8" spans="1:32" x14ac:dyDescent="0.25">
      <c r="A8" s="21"/>
      <c r="B8" s="22"/>
      <c r="C8" s="5"/>
      <c r="D8" s="6"/>
      <c r="E8" s="7" t="str">
        <f t="shared" si="0"/>
        <v/>
      </c>
      <c r="F8" s="5"/>
      <c r="G8" s="6"/>
      <c r="H8" s="7" t="str">
        <f t="shared" si="3"/>
        <v/>
      </c>
      <c r="I8" s="5"/>
      <c r="J8" s="6"/>
      <c r="K8" s="7" t="str">
        <f t="shared" si="4"/>
        <v/>
      </c>
      <c r="L8" s="5"/>
      <c r="M8" s="6"/>
      <c r="N8" s="7" t="str">
        <f t="shared" si="5"/>
        <v/>
      </c>
      <c r="O8" s="5"/>
      <c r="P8" s="6"/>
      <c r="Q8" s="7" t="str">
        <f t="shared" si="6"/>
        <v/>
      </c>
      <c r="R8" s="5"/>
      <c r="S8" s="6"/>
      <c r="T8" s="7" t="str">
        <f t="shared" si="1"/>
        <v/>
      </c>
      <c r="U8" s="5"/>
      <c r="V8" s="6"/>
      <c r="W8" s="7" t="str">
        <f t="shared" si="7"/>
        <v/>
      </c>
      <c r="X8" s="5"/>
      <c r="Y8" s="6"/>
      <c r="Z8" s="7" t="str">
        <f t="shared" si="8"/>
        <v/>
      </c>
      <c r="AA8" s="5"/>
      <c r="AB8" s="6"/>
      <c r="AC8" s="7" t="str">
        <f t="shared" si="9"/>
        <v/>
      </c>
      <c r="AD8" s="5" t="str" cm="1">
        <f t="array" ref="AD8">_xlfn.LET(
  _xlpm.vals, _xlfn._xlws.FILTER(C8:AA8, MOD(COLUMN(C8:AA8)-COLUMN(C8),3)=0),
  _xlpm.s, SUM(_xlpm.vals),
  IF(_xlpm.s=0, "", _xlpm.s)
)</f>
        <v/>
      </c>
      <c r="AE8" s="5" t="str" cm="1">
        <f t="array" ref="AE8">_xlfn.LET(
  _xlpm.vals, _xlfn._xlws.FILTER(D8:AB8, MOD(COLUMN(D8:AB8)-COLUMN(D8),3)=0),
  _xlpm.s, SUM(_xlpm.vals),
  IF(_xlpm.s=0, "", _xlpm.s)
)</f>
        <v/>
      </c>
      <c r="AF8" s="7" t="str">
        <f t="shared" si="2"/>
        <v/>
      </c>
    </row>
    <row r="9" spans="1:32" x14ac:dyDescent="0.25">
      <c r="A9" s="21"/>
      <c r="B9" s="22"/>
      <c r="C9" s="5"/>
      <c r="D9" s="6"/>
      <c r="E9" s="7" t="str">
        <f t="shared" si="0"/>
        <v/>
      </c>
      <c r="F9" s="5"/>
      <c r="G9" s="6"/>
      <c r="H9" s="7" t="str">
        <f t="shared" si="3"/>
        <v/>
      </c>
      <c r="I9" s="5"/>
      <c r="J9" s="6"/>
      <c r="K9" s="7" t="str">
        <f t="shared" si="4"/>
        <v/>
      </c>
      <c r="L9" s="5"/>
      <c r="M9" s="6"/>
      <c r="N9" s="7" t="str">
        <f t="shared" si="5"/>
        <v/>
      </c>
      <c r="O9" s="5"/>
      <c r="P9" s="6"/>
      <c r="Q9" s="7" t="str">
        <f t="shared" si="6"/>
        <v/>
      </c>
      <c r="R9" s="5"/>
      <c r="S9" s="6"/>
      <c r="T9" s="7" t="str">
        <f t="shared" si="1"/>
        <v/>
      </c>
      <c r="U9" s="5"/>
      <c r="V9" s="6"/>
      <c r="W9" s="7" t="str">
        <f t="shared" si="7"/>
        <v/>
      </c>
      <c r="X9" s="5"/>
      <c r="Y9" s="6"/>
      <c r="Z9" s="7" t="str">
        <f t="shared" si="8"/>
        <v/>
      </c>
      <c r="AA9" s="5"/>
      <c r="AB9" s="6"/>
      <c r="AC9" s="7" t="str">
        <f t="shared" si="9"/>
        <v/>
      </c>
      <c r="AD9" s="5" t="str" cm="1">
        <f t="array" ref="AD9">_xlfn.LET(
  _xlpm.vals, _xlfn._xlws.FILTER(C9:AA9, MOD(COLUMN(C9:AA9)-COLUMN(C9),3)=0),
  _xlpm.s, SUM(_xlpm.vals),
  IF(_xlpm.s=0, "", _xlpm.s)
)</f>
        <v/>
      </c>
      <c r="AE9" s="5" t="str" cm="1">
        <f t="array" ref="AE9">_xlfn.LET(
  _xlpm.vals, _xlfn._xlws.FILTER(D9:AB9, MOD(COLUMN(D9:AB9)-COLUMN(D9),3)=0),
  _xlpm.s, SUM(_xlpm.vals),
  IF(_xlpm.s=0, "", _xlpm.s)
)</f>
        <v/>
      </c>
      <c r="AF9" s="7" t="str">
        <f t="shared" si="2"/>
        <v/>
      </c>
    </row>
    <row r="10" spans="1:32" x14ac:dyDescent="0.25">
      <c r="A10" s="21"/>
      <c r="B10" s="22"/>
      <c r="C10" s="5"/>
      <c r="D10" s="6"/>
      <c r="E10" s="7" t="str">
        <f t="shared" si="0"/>
        <v/>
      </c>
      <c r="F10" s="5"/>
      <c r="G10" s="6"/>
      <c r="H10" s="7" t="str">
        <f t="shared" si="3"/>
        <v/>
      </c>
      <c r="I10" s="5"/>
      <c r="J10" s="6"/>
      <c r="K10" s="7" t="str">
        <f t="shared" si="4"/>
        <v/>
      </c>
      <c r="L10" s="5"/>
      <c r="M10" s="6"/>
      <c r="N10" s="7" t="str">
        <f t="shared" si="5"/>
        <v/>
      </c>
      <c r="O10" s="5"/>
      <c r="P10" s="6"/>
      <c r="Q10" s="7" t="str">
        <f t="shared" si="6"/>
        <v/>
      </c>
      <c r="R10" s="5"/>
      <c r="S10" s="6"/>
      <c r="T10" s="7" t="str">
        <f t="shared" si="1"/>
        <v/>
      </c>
      <c r="U10" s="5"/>
      <c r="V10" s="6"/>
      <c r="W10" s="7" t="str">
        <f t="shared" si="7"/>
        <v/>
      </c>
      <c r="X10" s="5"/>
      <c r="Y10" s="6"/>
      <c r="Z10" s="7" t="str">
        <f t="shared" si="8"/>
        <v/>
      </c>
      <c r="AA10" s="5"/>
      <c r="AB10" s="6"/>
      <c r="AC10" s="7" t="str">
        <f t="shared" si="9"/>
        <v/>
      </c>
      <c r="AD10" s="5" t="str" cm="1">
        <f t="array" ref="AD10">_xlfn.LET(
  _xlpm.vals, _xlfn._xlws.FILTER(C10:AA10, MOD(COLUMN(C10:AA10)-COLUMN(C10),3)=0),
  _xlpm.s, SUM(_xlpm.vals),
  IF(_xlpm.s=0, "", _xlpm.s)
)</f>
        <v/>
      </c>
      <c r="AE10" s="5" t="str" cm="1">
        <f t="array" ref="AE10">_xlfn.LET(
  _xlpm.vals, _xlfn._xlws.FILTER(D10:AB10, MOD(COLUMN(D10:AB10)-COLUMN(D10),3)=0),
  _xlpm.s, SUM(_xlpm.vals),
  IF(_xlpm.s=0, "", _xlpm.s)
)</f>
        <v/>
      </c>
      <c r="AF10" s="7" t="str">
        <f t="shared" si="2"/>
        <v/>
      </c>
    </row>
    <row r="11" spans="1:32" x14ac:dyDescent="0.25">
      <c r="A11" s="21"/>
      <c r="B11" s="22"/>
      <c r="C11" s="5"/>
      <c r="D11" s="6"/>
      <c r="E11" s="7" t="str">
        <f t="shared" si="0"/>
        <v/>
      </c>
      <c r="F11" s="5"/>
      <c r="G11" s="6"/>
      <c r="H11" s="7" t="str">
        <f t="shared" si="3"/>
        <v/>
      </c>
      <c r="I11" s="5"/>
      <c r="J11" s="6"/>
      <c r="K11" s="7" t="str">
        <f t="shared" si="4"/>
        <v/>
      </c>
      <c r="L11" s="5"/>
      <c r="M11" s="6"/>
      <c r="N11" s="7" t="str">
        <f t="shared" si="5"/>
        <v/>
      </c>
      <c r="O11" s="5"/>
      <c r="P11" s="6"/>
      <c r="Q11" s="7" t="str">
        <f t="shared" si="6"/>
        <v/>
      </c>
      <c r="R11" s="5"/>
      <c r="S11" s="6"/>
      <c r="T11" s="7" t="str">
        <f t="shared" si="1"/>
        <v/>
      </c>
      <c r="U11" s="5"/>
      <c r="V11" s="6"/>
      <c r="W11" s="7" t="str">
        <f t="shared" si="7"/>
        <v/>
      </c>
      <c r="X11" s="5"/>
      <c r="Y11" s="6"/>
      <c r="Z11" s="7" t="str">
        <f t="shared" si="8"/>
        <v/>
      </c>
      <c r="AA11" s="5"/>
      <c r="AB11" s="6"/>
      <c r="AC11" s="7" t="str">
        <f t="shared" si="9"/>
        <v/>
      </c>
      <c r="AD11" s="5" t="str" cm="1">
        <f t="array" ref="AD11">_xlfn.LET(
  _xlpm.vals, _xlfn._xlws.FILTER(C11:AA11, MOD(COLUMN(C11:AA11)-COLUMN(C11),3)=0),
  _xlpm.s, SUM(_xlpm.vals),
  IF(_xlpm.s=0, "", _xlpm.s)
)</f>
        <v/>
      </c>
      <c r="AE11" s="5" t="str" cm="1">
        <f t="array" ref="AE11">_xlfn.LET(
  _xlpm.vals, _xlfn._xlws.FILTER(D11:AB11, MOD(COLUMN(D11:AB11)-COLUMN(D11),3)=0),
  _xlpm.s, SUM(_xlpm.vals),
  IF(_xlpm.s=0, "", _xlpm.s)
)</f>
        <v/>
      </c>
      <c r="AF11" s="7" t="str">
        <f t="shared" si="2"/>
        <v/>
      </c>
    </row>
    <row r="12" spans="1:32" x14ac:dyDescent="0.25">
      <c r="A12" s="21"/>
      <c r="B12" s="22"/>
      <c r="C12" s="5"/>
      <c r="D12" s="6"/>
      <c r="E12" s="7" t="str">
        <f t="shared" si="0"/>
        <v/>
      </c>
      <c r="F12" s="5"/>
      <c r="G12" s="6"/>
      <c r="H12" s="7" t="str">
        <f t="shared" si="3"/>
        <v/>
      </c>
      <c r="I12" s="5"/>
      <c r="J12" s="6"/>
      <c r="K12" s="7" t="str">
        <f t="shared" si="4"/>
        <v/>
      </c>
      <c r="L12" s="5"/>
      <c r="M12" s="6"/>
      <c r="N12" s="7" t="str">
        <f t="shared" si="5"/>
        <v/>
      </c>
      <c r="O12" s="5"/>
      <c r="P12" s="6"/>
      <c r="Q12" s="7" t="str">
        <f t="shared" si="6"/>
        <v/>
      </c>
      <c r="R12" s="5"/>
      <c r="S12" s="6"/>
      <c r="T12" s="7" t="str">
        <f t="shared" si="1"/>
        <v/>
      </c>
      <c r="U12" s="5"/>
      <c r="V12" s="6"/>
      <c r="W12" s="7" t="str">
        <f t="shared" si="7"/>
        <v/>
      </c>
      <c r="X12" s="5"/>
      <c r="Y12" s="6"/>
      <c r="Z12" s="7" t="str">
        <f t="shared" si="8"/>
        <v/>
      </c>
      <c r="AA12" s="5"/>
      <c r="AB12" s="6"/>
      <c r="AC12" s="7" t="str">
        <f t="shared" si="9"/>
        <v/>
      </c>
      <c r="AD12" s="5" t="str" cm="1">
        <f t="array" ref="AD12">_xlfn.LET(
  _xlpm.vals, _xlfn._xlws.FILTER(C12:AA12, MOD(COLUMN(C12:AA12)-COLUMN(C12),3)=0),
  _xlpm.s, SUM(_xlpm.vals),
  IF(_xlpm.s=0, "", _xlpm.s)
)</f>
        <v/>
      </c>
      <c r="AE12" s="5" t="str" cm="1">
        <f t="array" ref="AE12">_xlfn.LET(
  _xlpm.vals, _xlfn._xlws.FILTER(D12:AB12, MOD(COLUMN(D12:AB12)-COLUMN(D12),3)=0),
  _xlpm.s, SUM(_xlpm.vals),
  IF(_xlpm.s=0, "", _xlpm.s)
)</f>
        <v/>
      </c>
      <c r="AF12" s="7" t="str">
        <f t="shared" si="2"/>
        <v/>
      </c>
    </row>
    <row r="13" spans="1:32" x14ac:dyDescent="0.25">
      <c r="A13" s="21"/>
      <c r="B13" s="22"/>
      <c r="C13" s="5"/>
      <c r="D13" s="6"/>
      <c r="E13" s="7" t="str">
        <f t="shared" si="0"/>
        <v/>
      </c>
      <c r="F13" s="5"/>
      <c r="G13" s="6"/>
      <c r="H13" s="7" t="str">
        <f t="shared" si="3"/>
        <v/>
      </c>
      <c r="I13" s="5"/>
      <c r="J13" s="6"/>
      <c r="K13" s="7" t="str">
        <f t="shared" si="4"/>
        <v/>
      </c>
      <c r="L13" s="5"/>
      <c r="M13" s="6"/>
      <c r="N13" s="7" t="str">
        <f t="shared" si="5"/>
        <v/>
      </c>
      <c r="O13" s="5"/>
      <c r="P13" s="6"/>
      <c r="Q13" s="7" t="str">
        <f t="shared" si="6"/>
        <v/>
      </c>
      <c r="R13" s="5"/>
      <c r="S13" s="6"/>
      <c r="T13" s="7" t="str">
        <f t="shared" si="1"/>
        <v/>
      </c>
      <c r="U13" s="5"/>
      <c r="V13" s="6"/>
      <c r="W13" s="7" t="str">
        <f t="shared" si="7"/>
        <v/>
      </c>
      <c r="X13" s="5"/>
      <c r="Y13" s="6"/>
      <c r="Z13" s="7" t="str">
        <f t="shared" si="8"/>
        <v/>
      </c>
      <c r="AA13" s="5"/>
      <c r="AB13" s="6"/>
      <c r="AC13" s="7" t="str">
        <f t="shared" si="9"/>
        <v/>
      </c>
      <c r="AD13" s="5" t="str" cm="1">
        <f t="array" ref="AD13">_xlfn.LET(
  _xlpm.vals, _xlfn._xlws.FILTER(C13:AA13, MOD(COLUMN(C13:AA13)-COLUMN(C13),3)=0),
  _xlpm.s, SUM(_xlpm.vals),
  IF(_xlpm.s=0, "", _xlpm.s)
)</f>
        <v/>
      </c>
      <c r="AE13" s="5" t="str" cm="1">
        <f t="array" ref="AE13">_xlfn.LET(
  _xlpm.vals, _xlfn._xlws.FILTER(D13:AB13, MOD(COLUMN(D13:AB13)-COLUMN(D13),3)=0),
  _xlpm.s, SUM(_xlpm.vals),
  IF(_xlpm.s=0, "", _xlpm.s)
)</f>
        <v/>
      </c>
      <c r="AF13" s="7" t="str">
        <f t="shared" si="2"/>
        <v/>
      </c>
    </row>
    <row r="14" spans="1:32" x14ac:dyDescent="0.25">
      <c r="A14" s="21"/>
      <c r="B14" s="22"/>
      <c r="C14" s="5"/>
      <c r="D14" s="6"/>
      <c r="E14" s="7" t="str">
        <f t="shared" si="0"/>
        <v/>
      </c>
      <c r="F14" s="5"/>
      <c r="G14" s="6"/>
      <c r="H14" s="7" t="str">
        <f t="shared" si="3"/>
        <v/>
      </c>
      <c r="I14" s="5"/>
      <c r="J14" s="6"/>
      <c r="K14" s="7" t="str">
        <f t="shared" si="4"/>
        <v/>
      </c>
      <c r="L14" s="5"/>
      <c r="M14" s="6"/>
      <c r="N14" s="7" t="str">
        <f t="shared" si="5"/>
        <v/>
      </c>
      <c r="O14" s="5"/>
      <c r="P14" s="6"/>
      <c r="Q14" s="7" t="str">
        <f t="shared" si="6"/>
        <v/>
      </c>
      <c r="R14" s="5"/>
      <c r="S14" s="6"/>
      <c r="T14" s="7" t="str">
        <f t="shared" si="1"/>
        <v/>
      </c>
      <c r="U14" s="5"/>
      <c r="V14" s="6"/>
      <c r="W14" s="7" t="str">
        <f t="shared" si="7"/>
        <v/>
      </c>
      <c r="X14" s="5"/>
      <c r="Y14" s="6"/>
      <c r="Z14" s="7" t="str">
        <f t="shared" si="8"/>
        <v/>
      </c>
      <c r="AA14" s="5"/>
      <c r="AB14" s="6"/>
      <c r="AC14" s="7" t="str">
        <f t="shared" si="9"/>
        <v/>
      </c>
      <c r="AD14" s="5" t="str" cm="1">
        <f t="array" ref="AD14">_xlfn.LET(
  _xlpm.vals, _xlfn._xlws.FILTER(C14:AA14, MOD(COLUMN(C14:AA14)-COLUMN(C14),3)=0),
  _xlpm.s, SUM(_xlpm.vals),
  IF(_xlpm.s=0, "", _xlpm.s)
)</f>
        <v/>
      </c>
      <c r="AE14" s="5" t="str" cm="1">
        <f t="array" ref="AE14">_xlfn.LET(
  _xlpm.vals, _xlfn._xlws.FILTER(D14:AB14, MOD(COLUMN(D14:AB14)-COLUMN(D14),3)=0),
  _xlpm.s, SUM(_xlpm.vals),
  IF(_xlpm.s=0, "", _xlpm.s)
)</f>
        <v/>
      </c>
      <c r="AF14" s="7" t="str">
        <f t="shared" si="2"/>
        <v/>
      </c>
    </row>
    <row r="15" spans="1:32" x14ac:dyDescent="0.25">
      <c r="A15" s="21"/>
      <c r="B15" s="22"/>
      <c r="C15" s="5"/>
      <c r="D15" s="6"/>
      <c r="E15" s="7" t="str">
        <f t="shared" si="0"/>
        <v/>
      </c>
      <c r="F15" s="5"/>
      <c r="G15" s="6"/>
      <c r="H15" s="7" t="str">
        <f t="shared" si="3"/>
        <v/>
      </c>
      <c r="I15" s="5"/>
      <c r="J15" s="6"/>
      <c r="K15" s="7" t="str">
        <f t="shared" si="4"/>
        <v/>
      </c>
      <c r="L15" s="5"/>
      <c r="M15" s="6"/>
      <c r="N15" s="7" t="str">
        <f t="shared" si="5"/>
        <v/>
      </c>
      <c r="O15" s="5"/>
      <c r="P15" s="6"/>
      <c r="Q15" s="7" t="str">
        <f t="shared" si="6"/>
        <v/>
      </c>
      <c r="R15" s="5"/>
      <c r="S15" s="6"/>
      <c r="T15" s="7" t="str">
        <f t="shared" si="1"/>
        <v/>
      </c>
      <c r="U15" s="5"/>
      <c r="V15" s="6"/>
      <c r="W15" s="7" t="str">
        <f t="shared" si="7"/>
        <v/>
      </c>
      <c r="X15" s="5"/>
      <c r="Y15" s="6"/>
      <c r="Z15" s="7" t="str">
        <f t="shared" si="8"/>
        <v/>
      </c>
      <c r="AA15" s="5"/>
      <c r="AB15" s="6"/>
      <c r="AC15" s="7" t="str">
        <f t="shared" si="9"/>
        <v/>
      </c>
      <c r="AD15" s="5" t="str" cm="1">
        <f t="array" ref="AD15">_xlfn.LET(
  _xlpm.vals, _xlfn._xlws.FILTER(C15:AA15, MOD(COLUMN(C15:AA15)-COLUMN(C15),3)=0),
  _xlpm.s, SUM(_xlpm.vals),
  IF(_xlpm.s=0, "", _xlpm.s)
)</f>
        <v/>
      </c>
      <c r="AE15" s="5" t="str" cm="1">
        <f t="array" ref="AE15">_xlfn.LET(
  _xlpm.vals, _xlfn._xlws.FILTER(D15:AB15, MOD(COLUMN(D15:AB15)-COLUMN(D15),3)=0),
  _xlpm.s, SUM(_xlpm.vals),
  IF(_xlpm.s=0, "", _xlpm.s)
)</f>
        <v/>
      </c>
      <c r="AF15" s="7" t="str">
        <f t="shared" si="2"/>
        <v/>
      </c>
    </row>
    <row r="16" spans="1:32" x14ac:dyDescent="0.25">
      <c r="A16" s="21"/>
      <c r="B16" s="22"/>
      <c r="C16" s="5"/>
      <c r="D16" s="6"/>
      <c r="E16" s="7" t="str">
        <f t="shared" si="0"/>
        <v/>
      </c>
      <c r="F16" s="5"/>
      <c r="G16" s="6"/>
      <c r="H16" s="7" t="str">
        <f t="shared" si="3"/>
        <v/>
      </c>
      <c r="I16" s="5"/>
      <c r="J16" s="6"/>
      <c r="K16" s="7" t="str">
        <f t="shared" si="4"/>
        <v/>
      </c>
      <c r="L16" s="5"/>
      <c r="M16" s="6"/>
      <c r="N16" s="7" t="str">
        <f t="shared" si="5"/>
        <v/>
      </c>
      <c r="O16" s="5"/>
      <c r="P16" s="6"/>
      <c r="Q16" s="7" t="str">
        <f t="shared" si="6"/>
        <v/>
      </c>
      <c r="R16" s="5"/>
      <c r="S16" s="6"/>
      <c r="T16" s="7" t="str">
        <f t="shared" si="1"/>
        <v/>
      </c>
      <c r="U16" s="5"/>
      <c r="V16" s="6"/>
      <c r="W16" s="7" t="str">
        <f t="shared" si="7"/>
        <v/>
      </c>
      <c r="X16" s="5"/>
      <c r="Y16" s="6"/>
      <c r="Z16" s="7" t="str">
        <f t="shared" si="8"/>
        <v/>
      </c>
      <c r="AA16" s="5"/>
      <c r="AB16" s="6"/>
      <c r="AC16" s="7" t="str">
        <f t="shared" si="9"/>
        <v/>
      </c>
      <c r="AD16" s="5" t="str" cm="1">
        <f t="array" ref="AD16">_xlfn.LET(
  _xlpm.vals, _xlfn._xlws.FILTER(C16:AA16, MOD(COLUMN(C16:AA16)-COLUMN(C16),3)=0),
  _xlpm.s, SUM(_xlpm.vals),
  IF(_xlpm.s=0, "", _xlpm.s)
)</f>
        <v/>
      </c>
      <c r="AE16" s="5" t="str" cm="1">
        <f t="array" ref="AE16">_xlfn.LET(
  _xlpm.vals, _xlfn._xlws.FILTER(D16:AB16, MOD(COLUMN(D16:AB16)-COLUMN(D16),3)=0),
  _xlpm.s, SUM(_xlpm.vals),
  IF(_xlpm.s=0, "", _xlpm.s)
)</f>
        <v/>
      </c>
      <c r="AF16" s="7" t="str">
        <f t="shared" si="2"/>
        <v/>
      </c>
    </row>
    <row r="17" spans="1:32" x14ac:dyDescent="0.25">
      <c r="A17" s="21"/>
      <c r="B17" s="22"/>
      <c r="C17" s="5"/>
      <c r="D17" s="6"/>
      <c r="E17" s="7" t="str">
        <f t="shared" si="0"/>
        <v/>
      </c>
      <c r="F17" s="5"/>
      <c r="G17" s="6"/>
      <c r="H17" s="7" t="str">
        <f t="shared" si="3"/>
        <v/>
      </c>
      <c r="I17" s="5"/>
      <c r="J17" s="6"/>
      <c r="K17" s="7" t="str">
        <f t="shared" si="4"/>
        <v/>
      </c>
      <c r="L17" s="5"/>
      <c r="M17" s="6"/>
      <c r="N17" s="7" t="str">
        <f t="shared" si="5"/>
        <v/>
      </c>
      <c r="O17" s="5"/>
      <c r="P17" s="6"/>
      <c r="Q17" s="7" t="str">
        <f t="shared" si="6"/>
        <v/>
      </c>
      <c r="R17" s="5"/>
      <c r="S17" s="6"/>
      <c r="T17" s="7" t="str">
        <f t="shared" si="1"/>
        <v/>
      </c>
      <c r="U17" s="5"/>
      <c r="V17" s="6"/>
      <c r="W17" s="7" t="str">
        <f t="shared" si="7"/>
        <v/>
      </c>
      <c r="X17" s="5"/>
      <c r="Y17" s="6"/>
      <c r="Z17" s="7" t="str">
        <f t="shared" si="8"/>
        <v/>
      </c>
      <c r="AA17" s="5"/>
      <c r="AB17" s="6"/>
      <c r="AC17" s="7" t="str">
        <f t="shared" si="9"/>
        <v/>
      </c>
      <c r="AD17" s="5" t="str" cm="1">
        <f t="array" ref="AD17">_xlfn.LET(
  _xlpm.vals, _xlfn._xlws.FILTER(C17:AA17, MOD(COLUMN(C17:AA17)-COLUMN(C17),3)=0),
  _xlpm.s, SUM(_xlpm.vals),
  IF(_xlpm.s=0, "", _xlpm.s)
)</f>
        <v/>
      </c>
      <c r="AE17" s="5" t="str" cm="1">
        <f t="array" ref="AE17">_xlfn.LET(
  _xlpm.vals, _xlfn._xlws.FILTER(D17:AB17, MOD(COLUMN(D17:AB17)-COLUMN(D17),3)=0),
  _xlpm.s, SUM(_xlpm.vals),
  IF(_xlpm.s=0, "", _xlpm.s)
)</f>
        <v/>
      </c>
      <c r="AF17" s="7" t="str">
        <f t="shared" si="2"/>
        <v/>
      </c>
    </row>
    <row r="18" spans="1:32" x14ac:dyDescent="0.25">
      <c r="A18" s="21"/>
      <c r="B18" s="22"/>
      <c r="C18" s="5"/>
      <c r="D18" s="6"/>
      <c r="E18" s="7" t="str">
        <f t="shared" si="0"/>
        <v/>
      </c>
      <c r="F18" s="5"/>
      <c r="G18" s="6"/>
      <c r="H18" s="7" t="str">
        <f t="shared" si="3"/>
        <v/>
      </c>
      <c r="I18" s="5"/>
      <c r="J18" s="6"/>
      <c r="K18" s="7" t="str">
        <f t="shared" si="4"/>
        <v/>
      </c>
      <c r="L18" s="5"/>
      <c r="M18" s="6"/>
      <c r="N18" s="7" t="str">
        <f t="shared" si="5"/>
        <v/>
      </c>
      <c r="O18" s="5"/>
      <c r="P18" s="6"/>
      <c r="Q18" s="7" t="str">
        <f t="shared" si="6"/>
        <v/>
      </c>
      <c r="R18" s="5"/>
      <c r="S18" s="6"/>
      <c r="T18" s="7" t="str">
        <f t="shared" si="1"/>
        <v/>
      </c>
      <c r="U18" s="5"/>
      <c r="V18" s="6"/>
      <c r="W18" s="7" t="str">
        <f t="shared" si="7"/>
        <v/>
      </c>
      <c r="X18" s="5"/>
      <c r="Y18" s="6"/>
      <c r="Z18" s="7" t="str">
        <f t="shared" si="8"/>
        <v/>
      </c>
      <c r="AA18" s="5"/>
      <c r="AB18" s="6"/>
      <c r="AC18" s="7" t="str">
        <f t="shared" si="9"/>
        <v/>
      </c>
      <c r="AD18" s="5" t="str" cm="1">
        <f t="array" ref="AD18">_xlfn.LET(
  _xlpm.vals, _xlfn._xlws.FILTER(C18:AA18, MOD(COLUMN(C18:AA18)-COLUMN(C18),3)=0),
  _xlpm.s, SUM(_xlpm.vals),
  IF(_xlpm.s=0, "", _xlpm.s)
)</f>
        <v/>
      </c>
      <c r="AE18" s="5" t="str" cm="1">
        <f t="array" ref="AE18">_xlfn.LET(
  _xlpm.vals, _xlfn._xlws.FILTER(D18:AB18, MOD(COLUMN(D18:AB18)-COLUMN(D18),3)=0),
  _xlpm.s, SUM(_xlpm.vals),
  IF(_xlpm.s=0, "", _xlpm.s)
)</f>
        <v/>
      </c>
      <c r="AF18" s="7" t="str">
        <f t="shared" si="2"/>
        <v/>
      </c>
    </row>
    <row r="19" spans="1:32" x14ac:dyDescent="0.25">
      <c r="A19" s="21"/>
      <c r="B19" s="22"/>
      <c r="C19" s="5"/>
      <c r="D19" s="6"/>
      <c r="E19" s="7" t="str">
        <f t="shared" si="0"/>
        <v/>
      </c>
      <c r="F19" s="5"/>
      <c r="G19" s="6"/>
      <c r="H19" s="7" t="str">
        <f t="shared" si="3"/>
        <v/>
      </c>
      <c r="I19" s="5"/>
      <c r="J19" s="6"/>
      <c r="K19" s="7" t="str">
        <f t="shared" si="4"/>
        <v/>
      </c>
      <c r="L19" s="5"/>
      <c r="M19" s="6"/>
      <c r="N19" s="7" t="str">
        <f t="shared" si="5"/>
        <v/>
      </c>
      <c r="O19" s="5"/>
      <c r="P19" s="6"/>
      <c r="Q19" s="7" t="str">
        <f t="shared" si="6"/>
        <v/>
      </c>
      <c r="R19" s="5"/>
      <c r="S19" s="6"/>
      <c r="T19" s="7" t="str">
        <f t="shared" si="1"/>
        <v/>
      </c>
      <c r="U19" s="5"/>
      <c r="V19" s="6"/>
      <c r="W19" s="7" t="str">
        <f t="shared" si="7"/>
        <v/>
      </c>
      <c r="X19" s="5"/>
      <c r="Y19" s="6"/>
      <c r="Z19" s="7" t="str">
        <f t="shared" si="8"/>
        <v/>
      </c>
      <c r="AA19" s="5"/>
      <c r="AB19" s="6"/>
      <c r="AC19" s="7" t="str">
        <f t="shared" si="9"/>
        <v/>
      </c>
      <c r="AD19" s="5" t="str" cm="1">
        <f t="array" ref="AD19">_xlfn.LET(
  _xlpm.vals, _xlfn._xlws.FILTER(C19:AA19, MOD(COLUMN(C19:AA19)-COLUMN(C19),3)=0),
  _xlpm.s, SUM(_xlpm.vals),
  IF(_xlpm.s=0, "", _xlpm.s)
)</f>
        <v/>
      </c>
      <c r="AE19" s="5" t="str" cm="1">
        <f t="array" ref="AE19">_xlfn.LET(
  _xlpm.vals, _xlfn._xlws.FILTER(D19:AB19, MOD(COLUMN(D19:AB19)-COLUMN(D19),3)=0),
  _xlpm.s, SUM(_xlpm.vals),
  IF(_xlpm.s=0, "", _xlpm.s)
)</f>
        <v/>
      </c>
      <c r="AF19" s="7" t="str">
        <f t="shared" si="2"/>
        <v/>
      </c>
    </row>
    <row r="20" spans="1:32" x14ac:dyDescent="0.25">
      <c r="A20" s="21"/>
      <c r="B20" s="22"/>
      <c r="C20" s="5"/>
      <c r="D20" s="6"/>
      <c r="E20" s="7" t="str">
        <f t="shared" si="0"/>
        <v/>
      </c>
      <c r="F20" s="5"/>
      <c r="G20" s="6"/>
      <c r="H20" s="7" t="str">
        <f t="shared" si="3"/>
        <v/>
      </c>
      <c r="I20" s="5"/>
      <c r="J20" s="6"/>
      <c r="K20" s="7" t="str">
        <f t="shared" si="4"/>
        <v/>
      </c>
      <c r="L20" s="5"/>
      <c r="M20" s="6"/>
      <c r="N20" s="7" t="str">
        <f t="shared" si="5"/>
        <v/>
      </c>
      <c r="O20" s="5"/>
      <c r="P20" s="6"/>
      <c r="Q20" s="7" t="str">
        <f t="shared" si="6"/>
        <v/>
      </c>
      <c r="R20" s="5"/>
      <c r="S20" s="6"/>
      <c r="T20" s="7" t="str">
        <f t="shared" si="1"/>
        <v/>
      </c>
      <c r="U20" s="5"/>
      <c r="V20" s="6"/>
      <c r="W20" s="7" t="str">
        <f t="shared" si="7"/>
        <v/>
      </c>
      <c r="X20" s="5"/>
      <c r="Y20" s="6"/>
      <c r="Z20" s="7" t="str">
        <f t="shared" si="8"/>
        <v/>
      </c>
      <c r="AA20" s="5"/>
      <c r="AB20" s="6"/>
      <c r="AC20" s="7" t="str">
        <f t="shared" si="9"/>
        <v/>
      </c>
      <c r="AD20" s="5" t="str" cm="1">
        <f t="array" ref="AD20">_xlfn.LET(
  _xlpm.vals, _xlfn._xlws.FILTER(C20:AA20, MOD(COLUMN(C20:AA20)-COLUMN(C20),3)=0),
  _xlpm.s, SUM(_xlpm.vals),
  IF(_xlpm.s=0, "", _xlpm.s)
)</f>
        <v/>
      </c>
      <c r="AE20" s="5" t="str" cm="1">
        <f t="array" ref="AE20">_xlfn.LET(
  _xlpm.vals, _xlfn._xlws.FILTER(D20:AB20, MOD(COLUMN(D20:AB20)-COLUMN(D20),3)=0),
  _xlpm.s, SUM(_xlpm.vals),
  IF(_xlpm.s=0, "", _xlpm.s)
)</f>
        <v/>
      </c>
      <c r="AF20" s="7" t="str">
        <f>IF(OR(AE20&lt;&gt;"", AD20&lt;&gt;""), 120 - IF(AE20="", 0, AE20) - 1.25 * IF(AD20="", 0, AD20), "")</f>
        <v/>
      </c>
    </row>
    <row r="21" spans="1:32" x14ac:dyDescent="0.25">
      <c r="A21" s="21"/>
      <c r="B21" s="22"/>
      <c r="C21" s="5"/>
      <c r="D21" s="6"/>
      <c r="E21" s="7" t="str">
        <f t="shared" si="0"/>
        <v/>
      </c>
      <c r="F21" s="5"/>
      <c r="G21" s="6"/>
      <c r="H21" s="7" t="str">
        <f t="shared" si="3"/>
        <v/>
      </c>
      <c r="I21" s="5"/>
      <c r="J21" s="6"/>
      <c r="K21" s="7" t="str">
        <f t="shared" si="4"/>
        <v/>
      </c>
      <c r="L21" s="5"/>
      <c r="M21" s="6"/>
      <c r="N21" s="7" t="str">
        <f t="shared" si="5"/>
        <v/>
      </c>
      <c r="O21" s="5"/>
      <c r="P21" s="6"/>
      <c r="Q21" s="7" t="str">
        <f t="shared" si="6"/>
        <v/>
      </c>
      <c r="R21" s="5"/>
      <c r="S21" s="6"/>
      <c r="T21" s="7" t="str">
        <f t="shared" si="1"/>
        <v/>
      </c>
      <c r="U21" s="5"/>
      <c r="V21" s="6"/>
      <c r="W21" s="7" t="str">
        <f t="shared" si="7"/>
        <v/>
      </c>
      <c r="X21" s="5"/>
      <c r="Y21" s="6"/>
      <c r="Z21" s="7" t="str">
        <f t="shared" si="8"/>
        <v/>
      </c>
      <c r="AA21" s="5"/>
      <c r="AB21" s="6"/>
      <c r="AC21" s="7" t="str">
        <f t="shared" si="9"/>
        <v/>
      </c>
      <c r="AD21" s="5" t="str" cm="1">
        <f t="array" ref="AD21">_xlfn.LET(
  _xlpm.vals, _xlfn._xlws.FILTER(C21:AA21, MOD(COLUMN(C21:AA21)-COLUMN(C21),3)=0),
  _xlpm.s, SUM(_xlpm.vals),
  IF(_xlpm.s=0, "", _xlpm.s)
)</f>
        <v/>
      </c>
      <c r="AE21" s="5" t="str" cm="1">
        <f t="array" ref="AE21">_xlfn.LET(
  _xlpm.vals, _xlfn._xlws.FILTER(D21:AB21, MOD(COLUMN(D21:AB21)-COLUMN(D21),3)=0),
  _xlpm.s, SUM(_xlpm.vals),
  IF(_xlpm.s=0, "", _xlpm.s)
)</f>
        <v/>
      </c>
      <c r="AF21" s="7" t="str">
        <f t="shared" si="2"/>
        <v/>
      </c>
    </row>
    <row r="22" spans="1:32" ht="15.75" thickBot="1" x14ac:dyDescent="0.3">
      <c r="A22" s="21"/>
      <c r="B22" s="22"/>
      <c r="C22" s="5"/>
      <c r="D22" s="6"/>
      <c r="E22" s="7" t="str">
        <f t="shared" si="0"/>
        <v/>
      </c>
      <c r="F22" s="5"/>
      <c r="G22" s="6"/>
      <c r="H22" s="7" t="str">
        <f t="shared" si="3"/>
        <v/>
      </c>
      <c r="I22" s="5"/>
      <c r="J22" s="6"/>
      <c r="K22" s="7" t="str">
        <f t="shared" si="4"/>
        <v/>
      </c>
      <c r="L22" s="5"/>
      <c r="M22" s="6"/>
      <c r="N22" s="7" t="str">
        <f t="shared" si="5"/>
        <v/>
      </c>
      <c r="O22" s="8"/>
      <c r="P22" s="9"/>
      <c r="Q22" s="7" t="str">
        <f t="shared" si="6"/>
        <v/>
      </c>
      <c r="R22" s="8"/>
      <c r="S22" s="9"/>
      <c r="T22" s="7" t="str">
        <f t="shared" si="1"/>
        <v/>
      </c>
      <c r="U22" s="8"/>
      <c r="V22" s="9"/>
      <c r="W22" s="7" t="str">
        <f t="shared" si="7"/>
        <v/>
      </c>
      <c r="X22" s="8"/>
      <c r="Y22" s="9"/>
      <c r="Z22" s="7" t="str">
        <f t="shared" si="8"/>
        <v/>
      </c>
      <c r="AA22" s="8"/>
      <c r="AB22" s="9"/>
      <c r="AC22" s="7" t="str">
        <f t="shared" si="9"/>
        <v/>
      </c>
      <c r="AD22" s="5" t="str" cm="1">
        <f t="array" ref="AD22">_xlfn.LET(
  _xlpm.vals, _xlfn._xlws.FILTER(C22:AA22, MOD(COLUMN(C22:AA22)-COLUMN(C22),3)=0),
  _xlpm.s, SUM(_xlpm.vals),
  IF(_xlpm.s=0, "", _xlpm.s)
)</f>
        <v/>
      </c>
      <c r="AE22" s="5" t="str" cm="1">
        <f t="array" ref="AE22">_xlfn.LET(
  _xlpm.vals, _xlfn._xlws.FILTER(D22:AB22, MOD(COLUMN(D22:AB22)-COLUMN(D22),3)=0),
  _xlpm.s, SUM(_xlpm.vals),
  IF(_xlpm.s=0, "", _xlpm.s)
)</f>
        <v/>
      </c>
      <c r="AF22" s="7" t="str">
        <f t="shared" si="2"/>
        <v/>
      </c>
    </row>
    <row r="23" spans="1:32" x14ac:dyDescent="0.25">
      <c r="H23" s="23">
        <f t="shared" ref="H23" si="10">AVERAGE(H3:H22)</f>
        <v>4</v>
      </c>
      <c r="K23" s="23">
        <f t="shared" ref="K23" si="11">AVERAGE(K3:K22)</f>
        <v>2.5</v>
      </c>
      <c r="N23" s="23">
        <f t="shared" ref="N23" si="12">AVERAGE(N3:N22)</f>
        <v>4</v>
      </c>
      <c r="Q23" s="23">
        <f t="shared" ref="Q23" si="13">AVERAGE(Q3:Q22)</f>
        <v>4</v>
      </c>
      <c r="T23" s="23">
        <f t="shared" ref="T23" si="14">AVERAGE(T3:T22)</f>
        <v>33.75</v>
      </c>
      <c r="W23" s="23">
        <f t="shared" ref="W23" si="15">AVERAGE(W3:W22)</f>
        <v>5.75</v>
      </c>
      <c r="Z23" s="23">
        <f t="shared" ref="Z23:AC23" si="16">AVERAGE(Z3:Z22)</f>
        <v>6.75</v>
      </c>
      <c r="AA23" s="23"/>
      <c r="AB23" s="23"/>
      <c r="AC23" s="23">
        <f t="shared" si="16"/>
        <v>5</v>
      </c>
      <c r="AF23" s="23">
        <f>AVERAGE(AF3:AF22)</f>
        <v>99.5</v>
      </c>
    </row>
  </sheetData>
  <protectedRanges>
    <protectedRange sqref="C3:D22 F3:G22 I3:J22 L3:M22 O3:P22 R3:S22 U3:V22 X3:Y22 AA3:AB22 AD3:AE22" name="Aralık1_4"/>
  </protectedRanges>
  <mergeCells count="31">
    <mergeCell ref="AD1:AF1"/>
    <mergeCell ref="A20:B20"/>
    <mergeCell ref="A21:B21"/>
    <mergeCell ref="A22:B22"/>
    <mergeCell ref="A3:B3"/>
    <mergeCell ref="A4:B4"/>
    <mergeCell ref="A5:B5"/>
    <mergeCell ref="A6:B6"/>
    <mergeCell ref="A7:B7"/>
    <mergeCell ref="A14:B14"/>
    <mergeCell ref="A15:B15"/>
    <mergeCell ref="A16:B16"/>
    <mergeCell ref="A17:B17"/>
    <mergeCell ref="A18:B18"/>
    <mergeCell ref="A19:B19"/>
    <mergeCell ref="A8:B8"/>
    <mergeCell ref="A9:B9"/>
    <mergeCell ref="A10:B10"/>
    <mergeCell ref="A11:B11"/>
    <mergeCell ref="A12:B12"/>
    <mergeCell ref="A13:B13"/>
    <mergeCell ref="R1:T1"/>
    <mergeCell ref="U1:W1"/>
    <mergeCell ref="X1:Z1"/>
    <mergeCell ref="AA1:AC1"/>
    <mergeCell ref="A1:B2"/>
    <mergeCell ref="C1:E1"/>
    <mergeCell ref="F1:H1"/>
    <mergeCell ref="I1:K1"/>
    <mergeCell ref="L1:N1"/>
    <mergeCell ref="O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FD775-57A2-4472-B2AA-F3FE4B9E32A5}">
  <dimension ref="A1:G39"/>
  <sheetViews>
    <sheetView topLeftCell="A13" workbookViewId="0">
      <selection activeCell="E21" sqref="E21"/>
    </sheetView>
  </sheetViews>
  <sheetFormatPr defaultRowHeight="15" x14ac:dyDescent="0.25"/>
  <cols>
    <col min="1" max="16384" width="9.140625" style="10"/>
  </cols>
  <sheetData>
    <row r="1" spans="1:7" x14ac:dyDescent="0.25">
      <c r="A1" s="11" t="s">
        <v>3</v>
      </c>
      <c r="B1" s="11" t="s">
        <v>10</v>
      </c>
      <c r="C1" s="11" t="s">
        <v>11</v>
      </c>
      <c r="D1" s="11" t="s">
        <v>12</v>
      </c>
      <c r="E1" s="11" t="s">
        <v>13</v>
      </c>
      <c r="F1" s="11" t="s">
        <v>14</v>
      </c>
      <c r="G1" s="11" t="s">
        <v>15</v>
      </c>
    </row>
    <row r="2" spans="1:7" ht="30" x14ac:dyDescent="0.25">
      <c r="A2" s="12" t="s">
        <v>16</v>
      </c>
      <c r="B2" s="12" t="s">
        <v>17</v>
      </c>
      <c r="C2" s="12"/>
      <c r="D2" s="12">
        <v>2</v>
      </c>
      <c r="E2" s="12">
        <v>2</v>
      </c>
      <c r="F2" s="12">
        <f>IF(OR(E2&lt;&gt;"", D2&lt;&gt;""), 13 - E2 - 1.25 * D2, "")</f>
        <v>8.5</v>
      </c>
      <c r="G2" s="12">
        <v>24.3</v>
      </c>
    </row>
    <row r="3" spans="1:7" ht="30" x14ac:dyDescent="0.25">
      <c r="A3" s="12" t="s">
        <v>18</v>
      </c>
      <c r="B3" s="12" t="s">
        <v>17</v>
      </c>
      <c r="C3" s="12"/>
      <c r="D3" s="12">
        <v>3</v>
      </c>
      <c r="E3" s="12">
        <v>2</v>
      </c>
      <c r="F3" s="12">
        <f>IF(OR(E3&lt;&gt;"", D3&lt;&gt;""), 13 - E3 - 1.25 * D3, "")</f>
        <v>7.25</v>
      </c>
      <c r="G3" s="12">
        <v>24.3</v>
      </c>
    </row>
    <row r="4" spans="1:7" ht="30" x14ac:dyDescent="0.25">
      <c r="A4" s="12" t="s">
        <v>19</v>
      </c>
      <c r="B4" s="12" t="s">
        <v>17</v>
      </c>
      <c r="C4" s="12"/>
      <c r="D4" s="12">
        <v>0</v>
      </c>
      <c r="E4" s="12">
        <v>0</v>
      </c>
      <c r="F4" s="12">
        <f t="shared" ref="F4:F20" si="0">IF(OR(E4&lt;&gt;"", D4&lt;&gt;""), 13 - E4 - 1.25 * D4, "")</f>
        <v>13</v>
      </c>
      <c r="G4" s="12">
        <v>23.02</v>
      </c>
    </row>
    <row r="5" spans="1:7" ht="30" x14ac:dyDescent="0.25">
      <c r="A5" s="12" t="s">
        <v>20</v>
      </c>
      <c r="B5" s="12" t="s">
        <v>17</v>
      </c>
      <c r="C5" s="12"/>
      <c r="D5" s="12"/>
      <c r="E5" s="12">
        <v>2</v>
      </c>
      <c r="F5" s="12">
        <f t="shared" si="0"/>
        <v>11</v>
      </c>
      <c r="G5" s="12">
        <v>30.31</v>
      </c>
    </row>
    <row r="6" spans="1:7" ht="30" x14ac:dyDescent="0.25">
      <c r="A6" s="12" t="s">
        <v>21</v>
      </c>
      <c r="B6" s="12" t="s">
        <v>17</v>
      </c>
      <c r="C6" s="12"/>
      <c r="D6" s="12">
        <v>3</v>
      </c>
      <c r="E6" s="12"/>
      <c r="F6" s="12">
        <f t="shared" si="0"/>
        <v>9.25</v>
      </c>
      <c r="G6" s="12">
        <v>16.46</v>
      </c>
    </row>
    <row r="7" spans="1:7" ht="30" x14ac:dyDescent="0.25">
      <c r="A7" s="12" t="s">
        <v>22</v>
      </c>
      <c r="B7" s="12" t="s">
        <v>17</v>
      </c>
      <c r="C7" s="12"/>
      <c r="D7" s="12">
        <v>1</v>
      </c>
      <c r="E7" s="12"/>
      <c r="F7" s="12">
        <f t="shared" si="0"/>
        <v>11.75</v>
      </c>
      <c r="G7" s="12">
        <v>19.05</v>
      </c>
    </row>
    <row r="8" spans="1:7" ht="30" x14ac:dyDescent="0.25">
      <c r="A8" s="12" t="s">
        <v>23</v>
      </c>
      <c r="B8" s="12" t="s">
        <v>17</v>
      </c>
      <c r="C8" s="12"/>
      <c r="D8" s="12">
        <v>1</v>
      </c>
      <c r="E8" s="12">
        <v>1</v>
      </c>
      <c r="F8" s="12">
        <f t="shared" si="0"/>
        <v>10.75</v>
      </c>
      <c r="G8" s="12">
        <v>27.19</v>
      </c>
    </row>
    <row r="9" spans="1:7" ht="30" x14ac:dyDescent="0.25">
      <c r="A9" s="12" t="s">
        <v>24</v>
      </c>
      <c r="B9" s="12" t="s">
        <v>17</v>
      </c>
      <c r="C9" s="12"/>
      <c r="D9" s="12">
        <v>0</v>
      </c>
      <c r="E9" s="12"/>
      <c r="F9" s="12">
        <f t="shared" si="0"/>
        <v>13</v>
      </c>
      <c r="G9" s="12">
        <v>22.56</v>
      </c>
    </row>
    <row r="10" spans="1:7" ht="30" x14ac:dyDescent="0.25">
      <c r="A10" s="12" t="s">
        <v>25</v>
      </c>
      <c r="B10" s="12" t="s">
        <v>17</v>
      </c>
      <c r="C10" s="12"/>
      <c r="D10" s="12"/>
      <c r="E10" s="12">
        <v>1</v>
      </c>
      <c r="F10" s="12">
        <f t="shared" si="0"/>
        <v>12</v>
      </c>
      <c r="G10" s="12">
        <v>17.48</v>
      </c>
    </row>
    <row r="11" spans="1:7" ht="30" x14ac:dyDescent="0.25">
      <c r="A11" s="12" t="s">
        <v>26</v>
      </c>
      <c r="B11" s="12" t="s">
        <v>17</v>
      </c>
      <c r="C11" s="12"/>
      <c r="D11" s="12"/>
      <c r="E11" s="12">
        <v>1</v>
      </c>
      <c r="F11" s="12">
        <f t="shared" si="0"/>
        <v>12</v>
      </c>
      <c r="G11" s="12">
        <v>30.02</v>
      </c>
    </row>
    <row r="12" spans="1:7" ht="30" x14ac:dyDescent="0.25">
      <c r="A12" s="12" t="s">
        <v>27</v>
      </c>
      <c r="B12" s="12" t="s">
        <v>17</v>
      </c>
      <c r="C12" s="12"/>
      <c r="D12" s="12">
        <v>2</v>
      </c>
      <c r="E12" s="12"/>
      <c r="F12" s="12">
        <f t="shared" si="0"/>
        <v>10.5</v>
      </c>
      <c r="G12" s="12">
        <v>20</v>
      </c>
    </row>
    <row r="13" spans="1:7" ht="30" x14ac:dyDescent="0.25">
      <c r="A13" s="12" t="s">
        <v>28</v>
      </c>
      <c r="B13" s="12" t="s">
        <v>17</v>
      </c>
      <c r="C13" s="12"/>
      <c r="D13" s="12">
        <v>1</v>
      </c>
      <c r="E13" s="12"/>
      <c r="F13" s="12">
        <f t="shared" si="0"/>
        <v>11.75</v>
      </c>
      <c r="G13" s="12">
        <v>25.39</v>
      </c>
    </row>
    <row r="14" spans="1:7" ht="30" x14ac:dyDescent="0.25">
      <c r="A14" s="12" t="s">
        <v>29</v>
      </c>
      <c r="B14" s="12" t="s">
        <v>17</v>
      </c>
      <c r="C14" s="12"/>
      <c r="D14" s="12">
        <v>2</v>
      </c>
      <c r="E14" s="12"/>
      <c r="F14" s="12">
        <f t="shared" si="0"/>
        <v>10.5</v>
      </c>
      <c r="G14" s="12">
        <v>17.52</v>
      </c>
    </row>
    <row r="15" spans="1:7" ht="30" x14ac:dyDescent="0.25">
      <c r="A15" s="12" t="s">
        <v>30</v>
      </c>
      <c r="B15" s="12" t="s">
        <v>17</v>
      </c>
      <c r="C15" s="12"/>
      <c r="D15" s="12">
        <v>3</v>
      </c>
      <c r="E15" s="12">
        <v>1</v>
      </c>
      <c r="F15" s="12">
        <f t="shared" si="0"/>
        <v>8.25</v>
      </c>
      <c r="G15" s="12">
        <v>28.45</v>
      </c>
    </row>
    <row r="16" spans="1:7" ht="30" x14ac:dyDescent="0.25">
      <c r="A16" s="12" t="s">
        <v>31</v>
      </c>
      <c r="B16" s="12" t="s">
        <v>17</v>
      </c>
      <c r="C16" s="12"/>
      <c r="D16" s="12">
        <v>1</v>
      </c>
      <c r="E16" s="12">
        <v>2</v>
      </c>
      <c r="F16" s="12">
        <f t="shared" si="0"/>
        <v>9.75</v>
      </c>
      <c r="G16" s="12">
        <v>32.32</v>
      </c>
    </row>
    <row r="17" spans="1:7" ht="30" x14ac:dyDescent="0.25">
      <c r="A17" s="12" t="s">
        <v>32</v>
      </c>
      <c r="B17" s="12" t="s">
        <v>17</v>
      </c>
      <c r="C17" s="12"/>
      <c r="D17" s="12">
        <v>2</v>
      </c>
      <c r="E17" s="12">
        <v>2</v>
      </c>
      <c r="F17" s="12">
        <f t="shared" si="0"/>
        <v>8.5</v>
      </c>
      <c r="G17" s="12">
        <v>26.41</v>
      </c>
    </row>
    <row r="18" spans="1:7" ht="30" x14ac:dyDescent="0.25">
      <c r="A18" s="12" t="s">
        <v>33</v>
      </c>
      <c r="B18" s="12" t="s">
        <v>17</v>
      </c>
      <c r="C18" s="12"/>
      <c r="D18" s="12">
        <v>1</v>
      </c>
      <c r="E18" s="12">
        <v>1</v>
      </c>
      <c r="F18" s="12">
        <f t="shared" si="0"/>
        <v>10.75</v>
      </c>
      <c r="G18" s="12">
        <v>22.02</v>
      </c>
    </row>
    <row r="19" spans="1:7" ht="30" x14ac:dyDescent="0.25">
      <c r="A19" s="12" t="s">
        <v>34</v>
      </c>
      <c r="B19" s="12" t="s">
        <v>17</v>
      </c>
      <c r="C19" s="12"/>
      <c r="D19" s="12">
        <v>3</v>
      </c>
      <c r="E19" s="12"/>
      <c r="F19" s="12">
        <f t="shared" si="0"/>
        <v>9.25</v>
      </c>
      <c r="G19" s="12">
        <v>25</v>
      </c>
    </row>
    <row r="20" spans="1:7" ht="30" x14ac:dyDescent="0.25">
      <c r="A20" s="12" t="s">
        <v>35</v>
      </c>
      <c r="B20" s="12" t="s">
        <v>17</v>
      </c>
      <c r="C20" s="12"/>
      <c r="D20" s="12"/>
      <c r="E20" s="12">
        <v>1</v>
      </c>
      <c r="F20" s="12">
        <f t="shared" si="0"/>
        <v>12</v>
      </c>
      <c r="G20" s="12">
        <v>25</v>
      </c>
    </row>
    <row r="21" spans="1:7" x14ac:dyDescent="0.25">
      <c r="F21" s="13">
        <f>AVERAGE(F2:F20)</f>
        <v>10.513157894736842</v>
      </c>
      <c r="G21" s="13">
        <f>AVERAGE(G2:G20)</f>
        <v>24.042105263157897</v>
      </c>
    </row>
    <row r="39" spans="5:5" x14ac:dyDescent="0.25">
      <c r="E39" s="4"/>
    </row>
  </sheetData>
  <conditionalFormatting sqref="F2:F20">
    <cfRule type="dataBar" priority="1">
      <dataBar>
        <cfvo type="min"/>
        <cfvo type="max"/>
        <color theme="1" tint="0.249977111117893"/>
      </dataBar>
      <extLst>
        <ext xmlns:x14="http://schemas.microsoft.com/office/spreadsheetml/2009/9/main" uri="{B025F937-C7B1-47D3-B67F-A62EFF666E3E}">
          <x14:id>{1E0AC652-5687-42A9-9FD8-4F833C58193B}</x14:id>
        </ext>
      </extLst>
    </cfRule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{23DE66AA-DE82-40D5-A1EC-E587BFB5E46D}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E0AC652-5687-42A9-9FD8-4F833C5819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3DE66AA-DE82-40D5-A1EC-E587BFB5E4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F2:F20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EADC8-9A87-47AD-BB2D-B774AD33F4E7}">
  <dimension ref="A1:G21"/>
  <sheetViews>
    <sheetView topLeftCell="A12" workbookViewId="0">
      <selection activeCell="G20" sqref="G2:G20"/>
    </sheetView>
  </sheetViews>
  <sheetFormatPr defaultRowHeight="15" x14ac:dyDescent="0.25"/>
  <cols>
    <col min="1" max="16384" width="9.140625" style="10"/>
  </cols>
  <sheetData>
    <row r="1" spans="1:7" x14ac:dyDescent="0.25">
      <c r="A1" s="11" t="s">
        <v>3</v>
      </c>
      <c r="B1" s="11" t="s">
        <v>10</v>
      </c>
      <c r="C1" s="11" t="s">
        <v>11</v>
      </c>
      <c r="D1" s="11" t="s">
        <v>12</v>
      </c>
      <c r="E1" s="11" t="s">
        <v>13</v>
      </c>
      <c r="F1" s="11" t="s">
        <v>14</v>
      </c>
      <c r="G1" s="11" t="s">
        <v>15</v>
      </c>
    </row>
    <row r="2" spans="1:7" ht="30" x14ac:dyDescent="0.25">
      <c r="A2" s="12" t="s">
        <v>36</v>
      </c>
      <c r="B2" s="12" t="s">
        <v>37</v>
      </c>
      <c r="C2" s="12"/>
      <c r="D2" s="12"/>
      <c r="E2" s="12">
        <v>4</v>
      </c>
      <c r="F2" s="12">
        <f>IF(OR(E2&lt;&gt;"", D2&lt;&gt;""), 10 - E2 - 1.25 * D2, "")</f>
        <v>6</v>
      </c>
      <c r="G2" s="12">
        <v>30</v>
      </c>
    </row>
    <row r="3" spans="1:7" ht="30" x14ac:dyDescent="0.25">
      <c r="A3" s="12" t="s">
        <v>38</v>
      </c>
      <c r="B3" s="12" t="s">
        <v>37</v>
      </c>
      <c r="C3" s="12"/>
      <c r="D3" s="12"/>
      <c r="E3" s="12">
        <v>1</v>
      </c>
      <c r="F3" s="12">
        <f t="shared" ref="F3:F20" si="0">IF(OR(E3&lt;&gt;"", D3&lt;&gt;""), 12 - E3 - 1.25 * D3, "")</f>
        <v>11</v>
      </c>
      <c r="G3" s="12">
        <v>22</v>
      </c>
    </row>
    <row r="4" spans="1:7" ht="30" x14ac:dyDescent="0.25">
      <c r="A4" s="12" t="s">
        <v>39</v>
      </c>
      <c r="B4" s="12" t="s">
        <v>37</v>
      </c>
      <c r="C4" s="12"/>
      <c r="D4" s="12">
        <v>2</v>
      </c>
      <c r="E4" s="12"/>
      <c r="F4" s="12">
        <f t="shared" si="0"/>
        <v>9.5</v>
      </c>
      <c r="G4" s="12">
        <v>14.2</v>
      </c>
    </row>
    <row r="5" spans="1:7" ht="30" x14ac:dyDescent="0.25">
      <c r="A5" s="12" t="s">
        <v>40</v>
      </c>
      <c r="B5" s="12" t="s">
        <v>37</v>
      </c>
      <c r="C5" s="12"/>
      <c r="D5" s="12">
        <v>0</v>
      </c>
      <c r="E5" s="12"/>
      <c r="F5" s="12">
        <f t="shared" si="0"/>
        <v>12</v>
      </c>
      <c r="G5" s="12">
        <v>21.32</v>
      </c>
    </row>
    <row r="6" spans="1:7" ht="30" x14ac:dyDescent="0.25">
      <c r="A6" s="12" t="s">
        <v>41</v>
      </c>
      <c r="B6" s="12" t="s">
        <v>37</v>
      </c>
      <c r="C6" s="12"/>
      <c r="D6" s="12">
        <v>1</v>
      </c>
      <c r="E6" s="12">
        <v>1</v>
      </c>
      <c r="F6" s="12">
        <f t="shared" si="0"/>
        <v>9.75</v>
      </c>
      <c r="G6" s="12">
        <v>15.51</v>
      </c>
    </row>
    <row r="7" spans="1:7" ht="30" x14ac:dyDescent="0.25">
      <c r="A7" s="12" t="s">
        <v>42</v>
      </c>
      <c r="B7" s="12" t="s">
        <v>37</v>
      </c>
      <c r="C7" s="12"/>
      <c r="D7" s="12">
        <v>1</v>
      </c>
      <c r="E7" s="12"/>
      <c r="F7" s="12">
        <f t="shared" si="0"/>
        <v>10.75</v>
      </c>
      <c r="G7" s="12">
        <v>17.27</v>
      </c>
    </row>
    <row r="8" spans="1:7" ht="30" x14ac:dyDescent="0.25">
      <c r="A8" s="12" t="s">
        <v>43</v>
      </c>
      <c r="B8" s="12" t="s">
        <v>37</v>
      </c>
      <c r="C8" s="12"/>
      <c r="D8" s="12">
        <v>3</v>
      </c>
      <c r="E8" s="12"/>
      <c r="F8" s="12">
        <f t="shared" si="0"/>
        <v>8.25</v>
      </c>
      <c r="G8" s="12"/>
    </row>
    <row r="9" spans="1:7" ht="30" x14ac:dyDescent="0.25">
      <c r="A9" s="12" t="s">
        <v>44</v>
      </c>
      <c r="B9" s="12" t="s">
        <v>37</v>
      </c>
      <c r="C9" s="12"/>
      <c r="D9" s="12">
        <v>0</v>
      </c>
      <c r="E9" s="12"/>
      <c r="F9" s="12">
        <f t="shared" si="0"/>
        <v>12</v>
      </c>
      <c r="G9" s="12">
        <v>14.5</v>
      </c>
    </row>
    <row r="10" spans="1:7" ht="30" x14ac:dyDescent="0.25">
      <c r="A10" s="12" t="s">
        <v>45</v>
      </c>
      <c r="B10" s="12" t="s">
        <v>37</v>
      </c>
      <c r="C10" s="12"/>
      <c r="D10" s="12">
        <v>2</v>
      </c>
      <c r="E10" s="12">
        <v>1</v>
      </c>
      <c r="F10" s="12">
        <f t="shared" si="0"/>
        <v>8.5</v>
      </c>
      <c r="G10" s="12">
        <v>17.22</v>
      </c>
    </row>
    <row r="11" spans="1:7" ht="30" x14ac:dyDescent="0.25">
      <c r="A11" s="12" t="s">
        <v>46</v>
      </c>
      <c r="B11" s="12" t="s">
        <v>37</v>
      </c>
      <c r="C11" s="12"/>
      <c r="D11" s="12">
        <v>1</v>
      </c>
      <c r="E11" s="12"/>
      <c r="F11" s="12">
        <f t="shared" si="0"/>
        <v>10.75</v>
      </c>
      <c r="G11" s="12">
        <v>13.47</v>
      </c>
    </row>
    <row r="12" spans="1:7" ht="30" x14ac:dyDescent="0.25">
      <c r="A12" s="12" t="s">
        <v>47</v>
      </c>
      <c r="B12" s="12" t="s">
        <v>37</v>
      </c>
      <c r="C12" s="12"/>
      <c r="D12" s="12">
        <v>1</v>
      </c>
      <c r="E12" s="12"/>
      <c r="F12" s="12">
        <f t="shared" si="0"/>
        <v>10.75</v>
      </c>
      <c r="G12" s="12">
        <v>16.09</v>
      </c>
    </row>
    <row r="13" spans="1:7" ht="30" x14ac:dyDescent="0.25">
      <c r="A13" s="12" t="s">
        <v>48</v>
      </c>
      <c r="B13" s="12" t="s">
        <v>37</v>
      </c>
      <c r="C13" s="12"/>
      <c r="D13" s="12">
        <v>3</v>
      </c>
      <c r="E13" s="12"/>
      <c r="F13" s="12">
        <f t="shared" si="0"/>
        <v>8.25</v>
      </c>
      <c r="G13" s="12">
        <v>14.33</v>
      </c>
    </row>
    <row r="14" spans="1:7" ht="30" x14ac:dyDescent="0.25">
      <c r="A14" s="12" t="s">
        <v>49</v>
      </c>
      <c r="B14" s="12" t="s">
        <v>37</v>
      </c>
      <c r="C14" s="12"/>
      <c r="D14" s="12"/>
      <c r="E14" s="12">
        <v>1</v>
      </c>
      <c r="F14" s="12">
        <f t="shared" si="0"/>
        <v>11</v>
      </c>
      <c r="G14" s="12"/>
    </row>
    <row r="15" spans="1:7" ht="30" x14ac:dyDescent="0.25">
      <c r="A15" s="12" t="s">
        <v>50</v>
      </c>
      <c r="B15" s="12" t="s">
        <v>37</v>
      </c>
      <c r="C15" s="12"/>
      <c r="D15" s="12">
        <v>1</v>
      </c>
      <c r="E15" s="12"/>
      <c r="F15" s="12">
        <f t="shared" si="0"/>
        <v>10.75</v>
      </c>
      <c r="G15" s="12">
        <v>26.26</v>
      </c>
    </row>
    <row r="16" spans="1:7" ht="30" x14ac:dyDescent="0.25">
      <c r="A16" s="12" t="s">
        <v>51</v>
      </c>
      <c r="B16" s="12" t="s">
        <v>37</v>
      </c>
      <c r="C16" s="12"/>
      <c r="D16" s="12">
        <v>2</v>
      </c>
      <c r="E16" s="12"/>
      <c r="F16" s="12">
        <f t="shared" si="0"/>
        <v>9.5</v>
      </c>
      <c r="G16" s="12">
        <v>16.12</v>
      </c>
    </row>
    <row r="17" spans="1:7" ht="30" x14ac:dyDescent="0.25">
      <c r="A17" s="12" t="s">
        <v>52</v>
      </c>
      <c r="B17" s="12" t="s">
        <v>37</v>
      </c>
      <c r="C17" s="12"/>
      <c r="D17" s="12">
        <v>1</v>
      </c>
      <c r="E17" s="12">
        <v>2</v>
      </c>
      <c r="F17" s="12">
        <f t="shared" si="0"/>
        <v>8.75</v>
      </c>
      <c r="G17" s="12">
        <v>24.43</v>
      </c>
    </row>
    <row r="18" spans="1:7" ht="30" x14ac:dyDescent="0.25">
      <c r="A18" s="12" t="s">
        <v>53</v>
      </c>
      <c r="B18" s="12" t="s">
        <v>37</v>
      </c>
      <c r="C18" s="12"/>
      <c r="D18" s="12">
        <v>0</v>
      </c>
      <c r="E18" s="12"/>
      <c r="F18" s="12">
        <f t="shared" si="0"/>
        <v>12</v>
      </c>
      <c r="G18" s="12">
        <v>16.11</v>
      </c>
    </row>
    <row r="19" spans="1:7" ht="30" x14ac:dyDescent="0.25">
      <c r="A19" s="12" t="s">
        <v>54</v>
      </c>
      <c r="B19" s="12" t="s">
        <v>37</v>
      </c>
      <c r="C19" s="12"/>
      <c r="D19" s="12">
        <v>3</v>
      </c>
      <c r="E19" s="12"/>
      <c r="F19" s="12">
        <f t="shared" si="0"/>
        <v>8.25</v>
      </c>
      <c r="G19" s="12">
        <v>28.16</v>
      </c>
    </row>
    <row r="20" spans="1:7" ht="30" x14ac:dyDescent="0.25">
      <c r="A20" s="12" t="s">
        <v>55</v>
      </c>
      <c r="B20" s="12" t="s">
        <v>37</v>
      </c>
      <c r="C20" s="12"/>
      <c r="D20" s="12">
        <v>1</v>
      </c>
      <c r="E20" s="12"/>
      <c r="F20" s="12">
        <f t="shared" si="0"/>
        <v>10.75</v>
      </c>
      <c r="G20" s="12">
        <v>31.4</v>
      </c>
    </row>
    <row r="21" spans="1:7" x14ac:dyDescent="0.25">
      <c r="F21" s="13">
        <f>AVERAGE(F2:F20)</f>
        <v>9.9210526315789469</v>
      </c>
      <c r="G21" s="13">
        <f>AVERAGE(G2:G20)</f>
        <v>19.90529411764706</v>
      </c>
    </row>
  </sheetData>
  <conditionalFormatting sqref="F2:F20">
    <cfRule type="dataBar" priority="1">
      <dataBar>
        <cfvo type="min"/>
        <cfvo type="max"/>
        <color theme="1" tint="0.249977111117893"/>
      </dataBar>
      <extLst>
        <ext xmlns:x14="http://schemas.microsoft.com/office/spreadsheetml/2009/9/main" uri="{B025F937-C7B1-47D3-B67F-A62EFF666E3E}">
          <x14:id>{A472C1EC-224F-4F5C-9E57-007F64CDA784}</x14:id>
        </ext>
      </extLst>
    </cfRule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{5B3E765E-5B6A-4014-A1F8-54950CAB8C20}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72C1EC-224F-4F5C-9E57-007F64CDA7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B3E765E-5B6A-4014-A1F8-54950CAB8C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F2:F20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A44BE-2C3C-4D4D-A0CC-861965A54C34}">
  <dimension ref="A1:G21"/>
  <sheetViews>
    <sheetView topLeftCell="A12" workbookViewId="0">
      <selection activeCell="G20" sqref="G2:G20"/>
    </sheetView>
  </sheetViews>
  <sheetFormatPr defaultRowHeight="15" x14ac:dyDescent="0.25"/>
  <cols>
    <col min="1" max="16384" width="9.140625" style="10"/>
  </cols>
  <sheetData>
    <row r="1" spans="1:7" x14ac:dyDescent="0.25">
      <c r="A1" s="11" t="s">
        <v>3</v>
      </c>
      <c r="B1" s="11" t="s">
        <v>10</v>
      </c>
      <c r="C1" s="11" t="s">
        <v>11</v>
      </c>
      <c r="D1" s="11" t="s">
        <v>12</v>
      </c>
      <c r="E1" s="11" t="s">
        <v>13</v>
      </c>
      <c r="F1" s="11" t="s">
        <v>14</v>
      </c>
      <c r="G1" s="11" t="s">
        <v>15</v>
      </c>
    </row>
    <row r="2" spans="1:7" ht="30" x14ac:dyDescent="0.25">
      <c r="A2" s="12" t="s">
        <v>56</v>
      </c>
      <c r="B2" s="12" t="s">
        <v>57</v>
      </c>
      <c r="C2" s="12"/>
      <c r="D2" s="12">
        <v>1</v>
      </c>
      <c r="E2" s="12"/>
      <c r="F2" s="12">
        <f>IF(OR(E2&lt;&gt;"", D2&lt;&gt;""), 12 - E2 - 1.25 * D2, "")</f>
        <v>10.75</v>
      </c>
      <c r="G2" s="12">
        <v>17.02</v>
      </c>
    </row>
    <row r="3" spans="1:7" ht="30" x14ac:dyDescent="0.25">
      <c r="A3" s="12" t="s">
        <v>58</v>
      </c>
      <c r="B3" s="12" t="s">
        <v>57</v>
      </c>
      <c r="C3" s="12"/>
      <c r="D3" s="12">
        <v>4</v>
      </c>
      <c r="E3" s="12"/>
      <c r="F3" s="12">
        <f t="shared" ref="F3:F20" si="0">IF(OR(E3&lt;&gt;"", D3&lt;&gt;""), 12 - E3 - 1.25 * D3, "")</f>
        <v>7</v>
      </c>
      <c r="G3" s="12">
        <v>17.02</v>
      </c>
    </row>
    <row r="4" spans="1:7" ht="30" x14ac:dyDescent="0.25">
      <c r="A4" s="12" t="s">
        <v>59</v>
      </c>
      <c r="B4" s="12" t="s">
        <v>57</v>
      </c>
      <c r="C4" s="12"/>
      <c r="D4" s="12"/>
      <c r="E4" s="12">
        <v>1</v>
      </c>
      <c r="F4" s="12">
        <f t="shared" si="0"/>
        <v>11</v>
      </c>
      <c r="G4" s="12">
        <v>25.33</v>
      </c>
    </row>
    <row r="5" spans="1:7" ht="30" x14ac:dyDescent="0.25">
      <c r="A5" s="12" t="s">
        <v>60</v>
      </c>
      <c r="B5" s="12" t="s">
        <v>57</v>
      </c>
      <c r="C5" s="12"/>
      <c r="D5" s="12"/>
      <c r="E5" s="12">
        <v>1</v>
      </c>
      <c r="F5" s="12">
        <f t="shared" si="0"/>
        <v>11</v>
      </c>
      <c r="G5" s="12"/>
    </row>
    <row r="6" spans="1:7" ht="30" x14ac:dyDescent="0.25">
      <c r="A6" s="12" t="s">
        <v>61</v>
      </c>
      <c r="B6" s="12" t="s">
        <v>57</v>
      </c>
      <c r="C6" s="12"/>
      <c r="D6" s="12">
        <v>1</v>
      </c>
      <c r="E6" s="12">
        <v>1</v>
      </c>
      <c r="F6" s="12">
        <f t="shared" si="0"/>
        <v>9.75</v>
      </c>
      <c r="G6" s="12">
        <v>24.03</v>
      </c>
    </row>
    <row r="7" spans="1:7" ht="30" x14ac:dyDescent="0.25">
      <c r="A7" s="12" t="s">
        <v>62</v>
      </c>
      <c r="B7" s="12" t="s">
        <v>57</v>
      </c>
      <c r="C7" s="12"/>
      <c r="D7" s="12">
        <v>0</v>
      </c>
      <c r="E7" s="12"/>
      <c r="F7" s="12">
        <f t="shared" si="0"/>
        <v>12</v>
      </c>
      <c r="G7" s="12"/>
    </row>
    <row r="8" spans="1:7" ht="30" x14ac:dyDescent="0.25">
      <c r="A8" s="12" t="s">
        <v>63</v>
      </c>
      <c r="B8" s="12" t="s">
        <v>57</v>
      </c>
      <c r="C8" s="12"/>
      <c r="D8" s="12">
        <v>0</v>
      </c>
      <c r="E8" s="12"/>
      <c r="F8" s="12">
        <f t="shared" si="0"/>
        <v>12</v>
      </c>
      <c r="G8" s="12">
        <v>17.309999999999999</v>
      </c>
    </row>
    <row r="9" spans="1:7" ht="30" x14ac:dyDescent="0.25">
      <c r="A9" s="12" t="s">
        <v>64</v>
      </c>
      <c r="B9" s="12" t="s">
        <v>57</v>
      </c>
      <c r="C9" s="12"/>
      <c r="D9" s="12">
        <v>1</v>
      </c>
      <c r="E9" s="12"/>
      <c r="F9" s="12">
        <f t="shared" si="0"/>
        <v>10.75</v>
      </c>
      <c r="G9" s="12">
        <v>17.399999999999999</v>
      </c>
    </row>
    <row r="10" spans="1:7" ht="30" x14ac:dyDescent="0.25">
      <c r="A10" s="12" t="s">
        <v>65</v>
      </c>
      <c r="B10" s="12" t="s">
        <v>57</v>
      </c>
      <c r="C10" s="12"/>
      <c r="D10" s="12">
        <v>1</v>
      </c>
      <c r="E10" s="12"/>
      <c r="F10" s="12">
        <f t="shared" si="0"/>
        <v>10.75</v>
      </c>
      <c r="G10" s="12">
        <v>17.37</v>
      </c>
    </row>
    <row r="11" spans="1:7" ht="30" x14ac:dyDescent="0.25">
      <c r="A11" s="12" t="s">
        <v>66</v>
      </c>
      <c r="B11" s="12" t="s">
        <v>57</v>
      </c>
      <c r="C11" s="12"/>
      <c r="D11" s="12">
        <v>1</v>
      </c>
      <c r="E11" s="12"/>
      <c r="F11" s="12">
        <f t="shared" si="0"/>
        <v>10.75</v>
      </c>
      <c r="G11" s="12">
        <v>15.25</v>
      </c>
    </row>
    <row r="12" spans="1:7" ht="30" x14ac:dyDescent="0.25">
      <c r="A12" s="12" t="s">
        <v>67</v>
      </c>
      <c r="B12" s="12" t="s">
        <v>57</v>
      </c>
      <c r="C12" s="12"/>
      <c r="D12" s="12"/>
      <c r="E12" s="12">
        <v>1</v>
      </c>
      <c r="F12" s="12">
        <f t="shared" si="0"/>
        <v>11</v>
      </c>
      <c r="G12" s="12">
        <v>19.28</v>
      </c>
    </row>
    <row r="13" spans="1:7" ht="30" x14ac:dyDescent="0.25">
      <c r="A13" s="12" t="s">
        <v>68</v>
      </c>
      <c r="B13" s="12" t="s">
        <v>57</v>
      </c>
      <c r="C13" s="12"/>
      <c r="D13" s="12"/>
      <c r="E13" s="12">
        <v>1</v>
      </c>
      <c r="F13" s="12">
        <f t="shared" si="0"/>
        <v>11</v>
      </c>
      <c r="G13" s="12">
        <v>23.43</v>
      </c>
    </row>
    <row r="14" spans="1:7" ht="30" x14ac:dyDescent="0.25">
      <c r="A14" s="12" t="s">
        <v>69</v>
      </c>
      <c r="B14" s="12" t="s">
        <v>57</v>
      </c>
      <c r="C14" s="12"/>
      <c r="D14" s="12">
        <v>1</v>
      </c>
      <c r="E14" s="12">
        <v>1</v>
      </c>
      <c r="F14" s="12">
        <f t="shared" si="0"/>
        <v>9.75</v>
      </c>
      <c r="G14" s="12">
        <v>22.3</v>
      </c>
    </row>
    <row r="15" spans="1:7" ht="30" x14ac:dyDescent="0.25">
      <c r="A15" s="12" t="s">
        <v>70</v>
      </c>
      <c r="B15" s="12" t="s">
        <v>57</v>
      </c>
      <c r="C15" s="12"/>
      <c r="D15" s="12">
        <v>1</v>
      </c>
      <c r="E15" s="12"/>
      <c r="F15" s="12">
        <f t="shared" si="0"/>
        <v>10.75</v>
      </c>
      <c r="G15" s="12">
        <v>17.350000000000001</v>
      </c>
    </row>
    <row r="16" spans="1:7" ht="30" x14ac:dyDescent="0.25">
      <c r="A16" s="12" t="s">
        <v>71</v>
      </c>
      <c r="B16" s="12" t="s">
        <v>57</v>
      </c>
      <c r="C16" s="12"/>
      <c r="D16" s="12">
        <v>0</v>
      </c>
      <c r="E16" s="12"/>
      <c r="F16" s="12">
        <f t="shared" si="0"/>
        <v>12</v>
      </c>
      <c r="G16" s="12">
        <v>21.3</v>
      </c>
    </row>
    <row r="17" spans="1:7" ht="30" x14ac:dyDescent="0.25">
      <c r="A17" s="12" t="s">
        <v>72</v>
      </c>
      <c r="B17" s="12" t="s">
        <v>57</v>
      </c>
      <c r="C17" s="12"/>
      <c r="D17" s="12"/>
      <c r="E17" s="12">
        <v>2</v>
      </c>
      <c r="F17" s="12">
        <f t="shared" si="0"/>
        <v>10</v>
      </c>
      <c r="G17" s="12">
        <v>21.13</v>
      </c>
    </row>
    <row r="18" spans="1:7" ht="30" x14ac:dyDescent="0.25">
      <c r="A18" s="12" t="s">
        <v>73</v>
      </c>
      <c r="B18" s="12" t="s">
        <v>57</v>
      </c>
      <c r="C18" s="12"/>
      <c r="D18" s="12">
        <v>1</v>
      </c>
      <c r="E18" s="12"/>
      <c r="F18" s="12">
        <f t="shared" si="0"/>
        <v>10.75</v>
      </c>
      <c r="G18" s="12">
        <v>19.329999999999998</v>
      </c>
    </row>
    <row r="19" spans="1:7" ht="30" x14ac:dyDescent="0.25">
      <c r="A19" s="12" t="s">
        <v>74</v>
      </c>
      <c r="B19" s="12" t="s">
        <v>57</v>
      </c>
      <c r="C19" s="12"/>
      <c r="D19" s="12">
        <v>3</v>
      </c>
      <c r="E19" s="12"/>
      <c r="F19" s="12">
        <f t="shared" si="0"/>
        <v>8.25</v>
      </c>
      <c r="G19" s="12">
        <v>23.03</v>
      </c>
    </row>
    <row r="20" spans="1:7" ht="30" x14ac:dyDescent="0.25">
      <c r="A20" s="12" t="s">
        <v>75</v>
      </c>
      <c r="B20" s="12" t="s">
        <v>57</v>
      </c>
      <c r="C20" s="12"/>
      <c r="D20" s="12">
        <v>1</v>
      </c>
      <c r="E20" s="12">
        <v>1</v>
      </c>
      <c r="F20" s="12">
        <f t="shared" si="0"/>
        <v>9.75</v>
      </c>
      <c r="G20" s="12">
        <v>29.23</v>
      </c>
    </row>
    <row r="21" spans="1:7" x14ac:dyDescent="0.25">
      <c r="F21" s="13">
        <f>AVERAGE(F2:F20)</f>
        <v>10.473684210526315</v>
      </c>
      <c r="G21" s="13">
        <f>AVERAGE(G2:G20)</f>
        <v>20.418235294117647</v>
      </c>
    </row>
  </sheetData>
  <conditionalFormatting sqref="F2:F20">
    <cfRule type="dataBar" priority="1">
      <dataBar>
        <cfvo type="min"/>
        <cfvo type="max"/>
        <color theme="1" tint="0.249977111117893"/>
      </dataBar>
      <extLst>
        <ext xmlns:x14="http://schemas.microsoft.com/office/spreadsheetml/2009/9/main" uri="{B025F937-C7B1-47D3-B67F-A62EFF666E3E}">
          <x14:id>{8572C785-1247-4153-BC7D-F27151FE4C18}</x14:id>
        </ext>
      </extLst>
    </cfRule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{E2EB83FD-B909-41CA-B379-DB4F45A6B45B}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572C785-1247-4153-BC7D-F27151FE4C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2EB83FD-B909-41CA-B379-DB4F45A6B4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F2:F20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38516-67B7-4A92-BD87-F086169DB931}">
  <dimension ref="A1:G32"/>
  <sheetViews>
    <sheetView workbookViewId="0">
      <selection activeCell="F2" sqref="F2"/>
    </sheetView>
  </sheetViews>
  <sheetFormatPr defaultRowHeight="15" x14ac:dyDescent="0.25"/>
  <cols>
    <col min="1" max="16384" width="9.140625" style="10"/>
  </cols>
  <sheetData>
    <row r="1" spans="1:7" x14ac:dyDescent="0.25">
      <c r="A1" s="11" t="s">
        <v>3</v>
      </c>
      <c r="B1" s="11" t="s">
        <v>10</v>
      </c>
      <c r="C1" s="11" t="s">
        <v>11</v>
      </c>
      <c r="D1" s="11" t="s">
        <v>12</v>
      </c>
      <c r="E1" s="11" t="s">
        <v>13</v>
      </c>
      <c r="F1" s="11" t="s">
        <v>14</v>
      </c>
      <c r="G1" s="11" t="s">
        <v>15</v>
      </c>
    </row>
    <row r="2" spans="1:7" x14ac:dyDescent="0.25">
      <c r="A2" s="12" t="s">
        <v>76</v>
      </c>
      <c r="B2" s="12" t="s">
        <v>77</v>
      </c>
      <c r="C2" s="12"/>
      <c r="D2" s="12">
        <v>1</v>
      </c>
      <c r="E2" s="12"/>
      <c r="F2" s="12">
        <f>IF(OR(E2&lt;&gt;"", D2&lt;&gt;""), 12 - E2 - 1.25 * D2, "")</f>
        <v>10.75</v>
      </c>
      <c r="G2" s="12">
        <v>13</v>
      </c>
    </row>
    <row r="3" spans="1:7" x14ac:dyDescent="0.25">
      <c r="A3" s="12" t="s">
        <v>78</v>
      </c>
      <c r="B3" s="12" t="s">
        <v>77</v>
      </c>
      <c r="C3" s="12"/>
      <c r="D3" s="12">
        <v>2</v>
      </c>
      <c r="E3" s="12"/>
      <c r="F3" s="12">
        <f t="shared" ref="F3:F31" si="0">IF(OR(E3&lt;&gt;"", D3&lt;&gt;""), 12 - E3 - 1.25 * D3, "")</f>
        <v>9.5</v>
      </c>
      <c r="G3" s="12"/>
    </row>
    <row r="4" spans="1:7" x14ac:dyDescent="0.25">
      <c r="A4" s="12" t="s">
        <v>79</v>
      </c>
      <c r="B4" s="12" t="s">
        <v>77</v>
      </c>
      <c r="C4" s="12"/>
      <c r="D4" s="12">
        <v>2</v>
      </c>
      <c r="E4" s="12"/>
      <c r="F4" s="12">
        <f t="shared" si="0"/>
        <v>9.5</v>
      </c>
      <c r="G4" s="12">
        <v>15</v>
      </c>
    </row>
    <row r="5" spans="1:7" x14ac:dyDescent="0.25">
      <c r="A5" s="12" t="s">
        <v>80</v>
      </c>
      <c r="B5" s="12" t="s">
        <v>77</v>
      </c>
      <c r="C5" s="12"/>
      <c r="D5" s="12">
        <v>2</v>
      </c>
      <c r="E5" s="12"/>
      <c r="F5" s="12">
        <f t="shared" si="0"/>
        <v>9.5</v>
      </c>
      <c r="G5" s="12">
        <v>14.11</v>
      </c>
    </row>
    <row r="6" spans="1:7" x14ac:dyDescent="0.25">
      <c r="A6" s="12" t="s">
        <v>81</v>
      </c>
      <c r="B6" s="12" t="s">
        <v>77</v>
      </c>
      <c r="C6" s="12"/>
      <c r="D6" s="12">
        <v>1</v>
      </c>
      <c r="E6" s="12"/>
      <c r="F6" s="12">
        <f t="shared" si="0"/>
        <v>10.75</v>
      </c>
      <c r="G6" s="12">
        <v>10.15</v>
      </c>
    </row>
    <row r="7" spans="1:7" x14ac:dyDescent="0.25">
      <c r="A7" s="12" t="s">
        <v>82</v>
      </c>
      <c r="B7" s="12" t="s">
        <v>77</v>
      </c>
      <c r="C7" s="12"/>
      <c r="D7" s="12">
        <v>0</v>
      </c>
      <c r="E7" s="12"/>
      <c r="F7" s="12">
        <f t="shared" si="0"/>
        <v>12</v>
      </c>
      <c r="G7" s="12">
        <v>12.07</v>
      </c>
    </row>
    <row r="8" spans="1:7" x14ac:dyDescent="0.25">
      <c r="A8" s="12" t="s">
        <v>83</v>
      </c>
      <c r="B8" s="12" t="s">
        <v>77</v>
      </c>
      <c r="C8" s="12"/>
      <c r="D8" s="12">
        <v>0</v>
      </c>
      <c r="E8" s="12"/>
      <c r="F8" s="12">
        <f t="shared" si="0"/>
        <v>12</v>
      </c>
      <c r="G8" s="12"/>
    </row>
    <row r="9" spans="1:7" x14ac:dyDescent="0.25">
      <c r="A9" s="12" t="s">
        <v>84</v>
      </c>
      <c r="B9" s="12" t="s">
        <v>77</v>
      </c>
      <c r="C9" s="12"/>
      <c r="D9" s="12">
        <v>3</v>
      </c>
      <c r="E9" s="12"/>
      <c r="F9" s="12">
        <f t="shared" si="0"/>
        <v>8.25</v>
      </c>
      <c r="G9" s="12">
        <v>12.44</v>
      </c>
    </row>
    <row r="10" spans="1:7" x14ac:dyDescent="0.25">
      <c r="A10" s="12" t="s">
        <v>85</v>
      </c>
      <c r="B10" s="12" t="s">
        <v>77</v>
      </c>
      <c r="C10" s="12"/>
      <c r="D10" s="12">
        <v>1</v>
      </c>
      <c r="E10" s="12">
        <v>1</v>
      </c>
      <c r="F10" s="12">
        <f t="shared" si="0"/>
        <v>9.75</v>
      </c>
      <c r="G10" s="12">
        <v>9.32</v>
      </c>
    </row>
    <row r="11" spans="1:7" x14ac:dyDescent="0.25">
      <c r="A11" s="12" t="s">
        <v>86</v>
      </c>
      <c r="B11" s="12" t="s">
        <v>77</v>
      </c>
      <c r="C11" s="12"/>
      <c r="D11" s="12">
        <v>2</v>
      </c>
      <c r="E11" s="12"/>
      <c r="F11" s="12">
        <f t="shared" si="0"/>
        <v>9.5</v>
      </c>
      <c r="G11" s="12">
        <v>10.44</v>
      </c>
    </row>
    <row r="12" spans="1:7" x14ac:dyDescent="0.25">
      <c r="A12" s="12" t="s">
        <v>87</v>
      </c>
      <c r="B12" s="12" t="s">
        <v>77</v>
      </c>
      <c r="C12" s="12"/>
      <c r="D12" s="12">
        <v>0</v>
      </c>
      <c r="E12" s="12">
        <v>1</v>
      </c>
      <c r="F12" s="12">
        <f t="shared" si="0"/>
        <v>11</v>
      </c>
      <c r="G12" s="12">
        <v>9.24</v>
      </c>
    </row>
    <row r="13" spans="1:7" x14ac:dyDescent="0.25">
      <c r="A13" s="12" t="s">
        <v>88</v>
      </c>
      <c r="B13" s="12" t="s">
        <v>77</v>
      </c>
      <c r="C13" s="12"/>
      <c r="D13" s="12">
        <v>2</v>
      </c>
      <c r="E13" s="12">
        <v>1</v>
      </c>
      <c r="F13" s="12">
        <f t="shared" si="0"/>
        <v>8.5</v>
      </c>
      <c r="G13" s="12">
        <v>15.06</v>
      </c>
    </row>
    <row r="14" spans="1:7" x14ac:dyDescent="0.25">
      <c r="A14" s="12" t="s">
        <v>89</v>
      </c>
      <c r="B14" s="12" t="s">
        <v>77</v>
      </c>
      <c r="C14" s="12"/>
      <c r="D14" s="12">
        <v>2</v>
      </c>
      <c r="E14" s="12">
        <v>1</v>
      </c>
      <c r="F14" s="12">
        <f t="shared" si="0"/>
        <v>8.5</v>
      </c>
      <c r="G14" s="12">
        <v>13.35</v>
      </c>
    </row>
    <row r="15" spans="1:7" x14ac:dyDescent="0.25">
      <c r="A15" s="12" t="s">
        <v>90</v>
      </c>
      <c r="B15" s="12" t="s">
        <v>77</v>
      </c>
      <c r="C15" s="12"/>
      <c r="D15" s="12">
        <v>0</v>
      </c>
      <c r="E15" s="12">
        <v>1</v>
      </c>
      <c r="F15" s="12">
        <f t="shared" si="0"/>
        <v>11</v>
      </c>
      <c r="G15" s="12">
        <v>9.01</v>
      </c>
    </row>
    <row r="16" spans="1:7" x14ac:dyDescent="0.25">
      <c r="A16" s="12" t="s">
        <v>91</v>
      </c>
      <c r="B16" s="12" t="s">
        <v>77</v>
      </c>
      <c r="C16" s="12"/>
      <c r="D16" s="12">
        <v>2</v>
      </c>
      <c r="E16" s="12"/>
      <c r="F16" s="12">
        <f t="shared" si="0"/>
        <v>9.5</v>
      </c>
      <c r="G16" s="12">
        <v>13.3</v>
      </c>
    </row>
    <row r="17" spans="1:7" x14ac:dyDescent="0.25">
      <c r="A17" s="12" t="s">
        <v>92</v>
      </c>
      <c r="B17" s="12" t="s">
        <v>77</v>
      </c>
      <c r="C17" s="12"/>
      <c r="D17" s="12">
        <v>1</v>
      </c>
      <c r="E17" s="12">
        <v>1</v>
      </c>
      <c r="F17" s="12">
        <f t="shared" si="0"/>
        <v>9.75</v>
      </c>
      <c r="G17" s="12">
        <v>14.2</v>
      </c>
    </row>
    <row r="18" spans="1:7" x14ac:dyDescent="0.25">
      <c r="A18" s="12" t="s">
        <v>93</v>
      </c>
      <c r="B18" s="12" t="s">
        <v>77</v>
      </c>
      <c r="C18" s="12"/>
      <c r="D18" s="12">
        <v>3</v>
      </c>
      <c r="E18" s="12"/>
      <c r="F18" s="12">
        <f t="shared" si="0"/>
        <v>8.25</v>
      </c>
      <c r="G18" s="12">
        <v>13.18</v>
      </c>
    </row>
    <row r="19" spans="1:7" x14ac:dyDescent="0.25">
      <c r="A19" s="12" t="s">
        <v>94</v>
      </c>
      <c r="B19" s="12" t="s">
        <v>77</v>
      </c>
      <c r="C19" s="12"/>
      <c r="D19" s="12">
        <v>3</v>
      </c>
      <c r="E19" s="12"/>
      <c r="F19" s="12">
        <f t="shared" si="0"/>
        <v>8.25</v>
      </c>
      <c r="G19" s="12">
        <v>11.48</v>
      </c>
    </row>
    <row r="20" spans="1:7" x14ac:dyDescent="0.25">
      <c r="A20" s="12" t="s">
        <v>95</v>
      </c>
      <c r="B20" s="12" t="s">
        <v>77</v>
      </c>
      <c r="C20" s="12"/>
      <c r="D20" s="12">
        <v>1</v>
      </c>
      <c r="E20" s="12"/>
      <c r="F20" s="12">
        <f t="shared" si="0"/>
        <v>10.75</v>
      </c>
      <c r="G20" s="12">
        <v>10</v>
      </c>
    </row>
    <row r="21" spans="1:7" x14ac:dyDescent="0.25">
      <c r="A21" s="12" t="s">
        <v>96</v>
      </c>
      <c r="B21" s="12" t="s">
        <v>77</v>
      </c>
      <c r="C21" s="12"/>
      <c r="D21" s="12">
        <v>2</v>
      </c>
      <c r="E21" s="12"/>
      <c r="F21" s="12">
        <f t="shared" si="0"/>
        <v>9.5</v>
      </c>
      <c r="G21" s="12">
        <v>12.42</v>
      </c>
    </row>
    <row r="22" spans="1:7" x14ac:dyDescent="0.25">
      <c r="A22" s="12" t="s">
        <v>97</v>
      </c>
      <c r="B22" s="12" t="s">
        <v>77</v>
      </c>
      <c r="C22" s="12"/>
      <c r="D22" s="12">
        <v>3</v>
      </c>
      <c r="E22" s="12"/>
      <c r="F22" s="12">
        <f t="shared" si="0"/>
        <v>8.25</v>
      </c>
      <c r="G22" s="12"/>
    </row>
    <row r="23" spans="1:7" x14ac:dyDescent="0.25">
      <c r="A23" s="12" t="s">
        <v>98</v>
      </c>
      <c r="B23" s="12" t="s">
        <v>77</v>
      </c>
      <c r="C23" s="12"/>
      <c r="D23" s="12">
        <v>1</v>
      </c>
      <c r="E23" s="12"/>
      <c r="F23" s="12">
        <f t="shared" si="0"/>
        <v>10.75</v>
      </c>
      <c r="G23" s="12">
        <v>11</v>
      </c>
    </row>
    <row r="24" spans="1:7" x14ac:dyDescent="0.25">
      <c r="A24" s="12" t="s">
        <v>99</v>
      </c>
      <c r="B24" s="12" t="s">
        <v>77</v>
      </c>
      <c r="C24" s="12"/>
      <c r="D24" s="12">
        <v>1</v>
      </c>
      <c r="E24" s="12"/>
      <c r="F24" s="12">
        <f t="shared" si="0"/>
        <v>10.75</v>
      </c>
      <c r="G24" s="12">
        <v>10.23</v>
      </c>
    </row>
    <row r="25" spans="1:7" x14ac:dyDescent="0.25">
      <c r="A25" s="12" t="s">
        <v>100</v>
      </c>
      <c r="B25" s="12" t="s">
        <v>77</v>
      </c>
      <c r="C25" s="12"/>
      <c r="D25" s="12">
        <v>1</v>
      </c>
      <c r="E25" s="12"/>
      <c r="F25" s="12">
        <f t="shared" si="0"/>
        <v>10.75</v>
      </c>
      <c r="G25" s="12">
        <v>9.08</v>
      </c>
    </row>
    <row r="26" spans="1:7" x14ac:dyDescent="0.25">
      <c r="A26" s="12" t="s">
        <v>101</v>
      </c>
      <c r="B26" s="12" t="s">
        <v>77</v>
      </c>
      <c r="C26" s="12"/>
      <c r="D26" s="12">
        <v>2</v>
      </c>
      <c r="E26" s="12">
        <v>1</v>
      </c>
      <c r="F26" s="12">
        <f t="shared" si="0"/>
        <v>8.5</v>
      </c>
      <c r="G26" s="12">
        <v>10.39</v>
      </c>
    </row>
    <row r="27" spans="1:7" x14ac:dyDescent="0.25">
      <c r="A27" s="12" t="s">
        <v>102</v>
      </c>
      <c r="B27" s="12" t="s">
        <v>77</v>
      </c>
      <c r="C27" s="12"/>
      <c r="D27" s="12">
        <v>2</v>
      </c>
      <c r="E27" s="12"/>
      <c r="F27" s="12">
        <f t="shared" si="0"/>
        <v>9.5</v>
      </c>
      <c r="G27" s="12">
        <v>9.14</v>
      </c>
    </row>
    <row r="28" spans="1:7" x14ac:dyDescent="0.25">
      <c r="A28" s="12" t="s">
        <v>103</v>
      </c>
      <c r="B28" s="12" t="s">
        <v>77</v>
      </c>
      <c r="C28" s="12"/>
      <c r="D28" s="12">
        <v>0</v>
      </c>
      <c r="E28" s="12"/>
      <c r="F28" s="12">
        <f t="shared" si="0"/>
        <v>12</v>
      </c>
      <c r="G28" s="12"/>
    </row>
    <row r="29" spans="1:7" x14ac:dyDescent="0.25">
      <c r="A29" s="12" t="s">
        <v>104</v>
      </c>
      <c r="B29" s="12" t="s">
        <v>77</v>
      </c>
      <c r="C29" s="12"/>
      <c r="D29" s="12">
        <v>1</v>
      </c>
      <c r="E29" s="12">
        <v>1</v>
      </c>
      <c r="F29" s="12">
        <f t="shared" si="0"/>
        <v>9.75</v>
      </c>
      <c r="G29" s="12">
        <v>16.010000000000002</v>
      </c>
    </row>
    <row r="30" spans="1:7" x14ac:dyDescent="0.25">
      <c r="A30" s="12" t="s">
        <v>105</v>
      </c>
      <c r="B30" s="12" t="s">
        <v>77</v>
      </c>
      <c r="C30" s="12"/>
      <c r="D30" s="12">
        <v>3</v>
      </c>
      <c r="E30" s="12">
        <v>1</v>
      </c>
      <c r="F30" s="12">
        <f t="shared" si="0"/>
        <v>7.25</v>
      </c>
      <c r="G30" s="12">
        <v>14.41</v>
      </c>
    </row>
    <row r="31" spans="1:7" x14ac:dyDescent="0.25">
      <c r="A31" s="12" t="s">
        <v>106</v>
      </c>
      <c r="B31" s="12" t="s">
        <v>77</v>
      </c>
      <c r="C31" s="12"/>
      <c r="D31" s="12">
        <v>0</v>
      </c>
      <c r="E31" s="12"/>
      <c r="F31" s="12">
        <f t="shared" si="0"/>
        <v>12</v>
      </c>
      <c r="G31" s="12">
        <v>11.5</v>
      </c>
    </row>
    <row r="32" spans="1:7" x14ac:dyDescent="0.25">
      <c r="F32" s="4">
        <f>AVERAGE(F2:F31)</f>
        <v>9.8666666666666671</v>
      </c>
      <c r="G32" s="23">
        <f>AVERAGE(G2:G31)</f>
        <v>11.904999999999999</v>
      </c>
    </row>
  </sheetData>
  <conditionalFormatting sqref="F2:F31">
    <cfRule type="dataBar" priority="1">
      <dataBar>
        <cfvo type="min"/>
        <cfvo type="max"/>
        <color theme="1" tint="0.249977111117893"/>
      </dataBar>
      <extLst>
        <ext xmlns:x14="http://schemas.microsoft.com/office/spreadsheetml/2009/9/main" uri="{B025F937-C7B1-47D3-B67F-A62EFF666E3E}">
          <x14:id>{361DEA25-6890-4EBA-A4E4-FFCB3DF24D36}</x14:id>
        </ext>
      </extLst>
    </cfRule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{B3501463-E180-4DCC-9F24-0C2EA9E894B0}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61DEA25-6890-4EBA-A4E4-FFCB3DF24D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3501463-E180-4DCC-9F24-0C2EA9E894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F2:F31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69B50-5179-4196-A0D5-B85BC8FBB3A6}">
  <dimension ref="A1:F32"/>
  <sheetViews>
    <sheetView tabSelected="1" workbookViewId="0">
      <selection activeCell="F18" sqref="F18"/>
    </sheetView>
  </sheetViews>
  <sheetFormatPr defaultRowHeight="15" x14ac:dyDescent="0.25"/>
  <cols>
    <col min="1" max="16384" width="9.140625" style="10"/>
  </cols>
  <sheetData>
    <row r="1" spans="1:6" x14ac:dyDescent="0.25">
      <c r="A1" s="11" t="s">
        <v>3</v>
      </c>
      <c r="B1" s="11" t="s">
        <v>11</v>
      </c>
      <c r="C1" s="24" t="s">
        <v>12</v>
      </c>
      <c r="D1" s="24" t="s">
        <v>13</v>
      </c>
      <c r="E1" s="11" t="s">
        <v>14</v>
      </c>
      <c r="F1" s="11" t="s">
        <v>15</v>
      </c>
    </row>
    <row r="2" spans="1:6" x14ac:dyDescent="0.25">
      <c r="A2" s="12">
        <v>1</v>
      </c>
      <c r="B2" s="12"/>
      <c r="C2" s="25">
        <v>1</v>
      </c>
      <c r="D2" s="25"/>
      <c r="E2" s="12">
        <f>IF(OR(D2&lt;&gt;"", C2&lt;&gt;""), 7 - D2 - 1.25 * C2, "")</f>
        <v>5.75</v>
      </c>
      <c r="F2" s="12">
        <v>4</v>
      </c>
    </row>
    <row r="3" spans="1:6" x14ac:dyDescent="0.25">
      <c r="A3" s="12">
        <v>2</v>
      </c>
      <c r="B3" s="12"/>
      <c r="C3" s="25">
        <v>1</v>
      </c>
      <c r="D3" s="25"/>
      <c r="E3" s="12">
        <f t="shared" ref="E3:E31" si="0">IF(OR(D3&lt;&gt;"", C3&lt;&gt;""), 7 - D3 - 1.25 * C3, "")</f>
        <v>5.75</v>
      </c>
      <c r="F3" s="12">
        <v>5.42</v>
      </c>
    </row>
    <row r="4" spans="1:6" x14ac:dyDescent="0.25">
      <c r="A4" s="12">
        <v>3</v>
      </c>
      <c r="B4" s="12"/>
      <c r="C4" s="25">
        <v>1</v>
      </c>
      <c r="D4" s="25"/>
      <c r="E4" s="12">
        <f t="shared" si="0"/>
        <v>5.75</v>
      </c>
      <c r="F4" s="12">
        <v>5.27</v>
      </c>
    </row>
    <row r="5" spans="1:6" x14ac:dyDescent="0.25">
      <c r="A5" s="12">
        <v>4</v>
      </c>
      <c r="B5" s="12"/>
      <c r="C5" s="25">
        <v>2</v>
      </c>
      <c r="D5" s="25"/>
      <c r="E5" s="12">
        <f t="shared" si="0"/>
        <v>4.5</v>
      </c>
      <c r="F5" s="12">
        <v>3.45</v>
      </c>
    </row>
    <row r="6" spans="1:6" x14ac:dyDescent="0.25">
      <c r="A6" s="12">
        <v>5</v>
      </c>
      <c r="B6" s="12"/>
      <c r="C6" s="25">
        <v>1</v>
      </c>
      <c r="D6" s="25"/>
      <c r="E6" s="12">
        <f t="shared" si="0"/>
        <v>5.75</v>
      </c>
      <c r="F6" s="12">
        <v>3</v>
      </c>
    </row>
    <row r="7" spans="1:6" x14ac:dyDescent="0.25">
      <c r="A7" s="12">
        <v>6</v>
      </c>
      <c r="B7" s="12"/>
      <c r="C7" s="25">
        <v>0</v>
      </c>
      <c r="D7" s="25"/>
      <c r="E7" s="12">
        <f t="shared" si="0"/>
        <v>7</v>
      </c>
      <c r="F7" s="12">
        <v>3.37</v>
      </c>
    </row>
    <row r="8" spans="1:6" x14ac:dyDescent="0.25">
      <c r="A8" s="12">
        <v>7</v>
      </c>
      <c r="B8" s="12"/>
      <c r="C8" s="25">
        <v>0</v>
      </c>
      <c r="D8" s="25"/>
      <c r="E8" s="12">
        <f t="shared" si="0"/>
        <v>7</v>
      </c>
      <c r="F8" s="12">
        <v>3.15</v>
      </c>
    </row>
    <row r="9" spans="1:6" x14ac:dyDescent="0.25">
      <c r="A9" s="12">
        <v>8</v>
      </c>
      <c r="B9" s="12"/>
      <c r="C9" s="25">
        <v>2</v>
      </c>
      <c r="D9" s="25"/>
      <c r="E9" s="12">
        <f t="shared" si="0"/>
        <v>4.5</v>
      </c>
      <c r="F9" s="12">
        <v>2.5299999999999998</v>
      </c>
    </row>
    <row r="10" spans="1:6" x14ac:dyDescent="0.25">
      <c r="A10" s="12">
        <v>9</v>
      </c>
      <c r="B10" s="12"/>
      <c r="C10" s="25">
        <v>1</v>
      </c>
      <c r="D10" s="25"/>
      <c r="E10" s="12">
        <f t="shared" si="0"/>
        <v>5.75</v>
      </c>
      <c r="F10" s="12">
        <v>3.23</v>
      </c>
    </row>
    <row r="11" spans="1:6" x14ac:dyDescent="0.25">
      <c r="A11" s="12">
        <v>10</v>
      </c>
      <c r="B11" s="12"/>
      <c r="C11" s="25">
        <v>1</v>
      </c>
      <c r="D11" s="25"/>
      <c r="E11" s="12">
        <f t="shared" si="0"/>
        <v>5.75</v>
      </c>
      <c r="F11" s="12">
        <v>4</v>
      </c>
    </row>
    <row r="12" spans="1:6" x14ac:dyDescent="0.25">
      <c r="A12" s="12">
        <v>11</v>
      </c>
      <c r="B12" s="12"/>
      <c r="C12" s="25">
        <v>1</v>
      </c>
      <c r="D12" s="25">
        <v>1</v>
      </c>
      <c r="E12" s="12">
        <f t="shared" si="0"/>
        <v>4.75</v>
      </c>
      <c r="F12" s="12">
        <v>5.4</v>
      </c>
    </row>
    <row r="13" spans="1:6" x14ac:dyDescent="0.25">
      <c r="A13" s="12">
        <v>12</v>
      </c>
      <c r="B13" s="12"/>
      <c r="C13" s="25">
        <v>0</v>
      </c>
      <c r="D13" s="25"/>
      <c r="E13" s="12">
        <f t="shared" si="0"/>
        <v>7</v>
      </c>
      <c r="F13" s="12">
        <v>2.48</v>
      </c>
    </row>
    <row r="14" spans="1:6" x14ac:dyDescent="0.25">
      <c r="A14" s="12">
        <v>13</v>
      </c>
      <c r="B14" s="12"/>
      <c r="C14" s="25">
        <v>0</v>
      </c>
      <c r="D14" s="25"/>
      <c r="E14" s="12">
        <f t="shared" si="0"/>
        <v>7</v>
      </c>
      <c r="F14" s="12">
        <v>4.4000000000000004</v>
      </c>
    </row>
    <row r="15" spans="1:6" x14ac:dyDescent="0.25">
      <c r="A15" s="12">
        <v>14</v>
      </c>
      <c r="B15" s="12"/>
      <c r="C15" s="25">
        <v>0</v>
      </c>
      <c r="D15" s="25"/>
      <c r="E15" s="12">
        <f t="shared" si="0"/>
        <v>7</v>
      </c>
      <c r="F15" s="12">
        <v>3</v>
      </c>
    </row>
    <row r="16" spans="1:6" x14ac:dyDescent="0.25">
      <c r="A16" s="12">
        <v>15</v>
      </c>
      <c r="B16" s="12"/>
      <c r="C16" s="25">
        <v>1</v>
      </c>
      <c r="D16" s="25"/>
      <c r="E16" s="12">
        <f t="shared" si="0"/>
        <v>5.75</v>
      </c>
      <c r="F16" s="12">
        <v>3.38</v>
      </c>
    </row>
    <row r="17" spans="1:6" x14ac:dyDescent="0.25">
      <c r="A17" s="12">
        <v>16</v>
      </c>
      <c r="B17" s="12"/>
      <c r="C17" s="12"/>
      <c r="D17" s="12"/>
      <c r="E17" s="12" t="str">
        <f t="shared" si="0"/>
        <v/>
      </c>
      <c r="F17" s="12"/>
    </row>
    <row r="18" spans="1:6" x14ac:dyDescent="0.25">
      <c r="A18" s="12">
        <v>17</v>
      </c>
      <c r="B18" s="12"/>
      <c r="C18" s="12"/>
      <c r="D18" s="12"/>
      <c r="E18" s="12" t="str">
        <f t="shared" si="0"/>
        <v/>
      </c>
      <c r="F18" s="12"/>
    </row>
    <row r="19" spans="1:6" x14ac:dyDescent="0.25">
      <c r="A19" s="12">
        <v>18</v>
      </c>
      <c r="B19" s="12"/>
      <c r="C19" s="12"/>
      <c r="D19" s="12"/>
      <c r="E19" s="12" t="str">
        <f t="shared" si="0"/>
        <v/>
      </c>
      <c r="F19" s="12"/>
    </row>
    <row r="20" spans="1:6" x14ac:dyDescent="0.25">
      <c r="A20" s="12">
        <v>19</v>
      </c>
      <c r="B20" s="12"/>
      <c r="C20" s="12"/>
      <c r="D20" s="12"/>
      <c r="E20" s="12" t="str">
        <f t="shared" si="0"/>
        <v/>
      </c>
      <c r="F20" s="12"/>
    </row>
    <row r="21" spans="1:6" x14ac:dyDescent="0.25">
      <c r="A21" s="12">
        <v>20</v>
      </c>
      <c r="B21" s="12"/>
      <c r="C21" s="12"/>
      <c r="D21" s="12"/>
      <c r="E21" s="12" t="str">
        <f t="shared" si="0"/>
        <v/>
      </c>
      <c r="F21" s="12"/>
    </row>
    <row r="22" spans="1:6" x14ac:dyDescent="0.25">
      <c r="A22" s="12">
        <v>21</v>
      </c>
      <c r="B22" s="12"/>
      <c r="C22" s="12"/>
      <c r="D22" s="12"/>
      <c r="E22" s="12" t="str">
        <f t="shared" si="0"/>
        <v/>
      </c>
      <c r="F22" s="12"/>
    </row>
    <row r="23" spans="1:6" x14ac:dyDescent="0.25">
      <c r="A23" s="12">
        <v>22</v>
      </c>
      <c r="B23" s="12"/>
      <c r="C23" s="12"/>
      <c r="D23" s="12"/>
      <c r="E23" s="12" t="str">
        <f t="shared" si="0"/>
        <v/>
      </c>
      <c r="F23" s="12"/>
    </row>
    <row r="24" spans="1:6" x14ac:dyDescent="0.25">
      <c r="A24" s="12">
        <v>23</v>
      </c>
      <c r="B24" s="12"/>
      <c r="C24" s="12"/>
      <c r="D24" s="12"/>
      <c r="E24" s="12" t="str">
        <f t="shared" si="0"/>
        <v/>
      </c>
      <c r="F24" s="12"/>
    </row>
    <row r="25" spans="1:6" x14ac:dyDescent="0.25">
      <c r="A25" s="12">
        <v>24</v>
      </c>
      <c r="B25" s="12"/>
      <c r="C25" s="12"/>
      <c r="D25" s="12"/>
      <c r="E25" s="12" t="str">
        <f t="shared" si="0"/>
        <v/>
      </c>
      <c r="F25" s="12"/>
    </row>
    <row r="26" spans="1:6" x14ac:dyDescent="0.25">
      <c r="A26" s="12">
        <v>25</v>
      </c>
      <c r="B26" s="12"/>
      <c r="C26" s="12"/>
      <c r="D26" s="12"/>
      <c r="E26" s="12" t="str">
        <f t="shared" si="0"/>
        <v/>
      </c>
      <c r="F26" s="12"/>
    </row>
    <row r="27" spans="1:6" x14ac:dyDescent="0.25">
      <c r="A27" s="12">
        <v>26</v>
      </c>
      <c r="B27" s="12"/>
      <c r="C27" s="12"/>
      <c r="D27" s="12"/>
      <c r="E27" s="12" t="str">
        <f t="shared" si="0"/>
        <v/>
      </c>
      <c r="F27" s="12"/>
    </row>
    <row r="28" spans="1:6" x14ac:dyDescent="0.25">
      <c r="A28" s="12">
        <v>27</v>
      </c>
      <c r="B28" s="12"/>
      <c r="C28" s="12"/>
      <c r="D28" s="12"/>
      <c r="E28" s="12" t="str">
        <f t="shared" si="0"/>
        <v/>
      </c>
      <c r="F28" s="12"/>
    </row>
    <row r="29" spans="1:6" x14ac:dyDescent="0.25">
      <c r="A29" s="12">
        <v>28</v>
      </c>
      <c r="B29" s="12"/>
      <c r="C29" s="12"/>
      <c r="D29" s="12"/>
      <c r="E29" s="12" t="str">
        <f t="shared" si="0"/>
        <v/>
      </c>
      <c r="F29" s="12"/>
    </row>
    <row r="30" spans="1:6" x14ac:dyDescent="0.25">
      <c r="A30" s="12">
        <v>29</v>
      </c>
      <c r="B30" s="12"/>
      <c r="C30" s="12"/>
      <c r="D30" s="12"/>
      <c r="E30" s="12" t="str">
        <f t="shared" si="0"/>
        <v/>
      </c>
      <c r="F30" s="12"/>
    </row>
    <row r="31" spans="1:6" x14ac:dyDescent="0.25">
      <c r="A31" s="12">
        <v>30</v>
      </c>
      <c r="B31" s="12"/>
      <c r="C31" s="12"/>
      <c r="D31" s="12"/>
      <c r="E31" s="12" t="str">
        <f t="shared" si="0"/>
        <v/>
      </c>
      <c r="F31" s="12"/>
    </row>
    <row r="32" spans="1:6" x14ac:dyDescent="0.25">
      <c r="E32" s="4">
        <f>AVERAGE(E2:E31)</f>
        <v>5.9333333333333336</v>
      </c>
      <c r="F32" s="23">
        <f>AVERAGE(F2:F31)</f>
        <v>3.7386666666666666</v>
      </c>
    </row>
  </sheetData>
  <conditionalFormatting sqref="E2:E31">
    <cfRule type="dataBar" priority="1">
      <dataBar>
        <cfvo type="min"/>
        <cfvo type="max"/>
        <color theme="1" tint="0.249977111117893"/>
      </dataBar>
      <extLst>
        <ext xmlns:x14="http://schemas.microsoft.com/office/spreadsheetml/2009/9/main" uri="{B025F937-C7B1-47D3-B67F-A62EFF666E3E}">
          <x14:id>{A9815B1E-9FCB-4C6B-98CF-3F6DFE89FD4B}</x14:id>
        </ext>
      </extLst>
    </cfRule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{D6CCE7D3-D3E3-4093-BE28-77A4540A06C1}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9815B1E-9FCB-4C6B-98CF-3F6DFE89FD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6CCE7D3-D3E3-4093-BE28-77A4540A06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E2:E31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TYT</vt:lpstr>
      <vt:lpstr>barispol</vt:lpstr>
      <vt:lpstr>barisilkon</vt:lpstr>
      <vt:lpstr>barikfonk</vt:lpstr>
      <vt:lpstr>3d db</vt:lpstr>
      <vt:lpstr>ESŞ TYT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cyrek wei</dc:creator>
  <cp:lastModifiedBy>cyrek wei</cp:lastModifiedBy>
  <dcterms:created xsi:type="dcterms:W3CDTF">2025-06-15T17:14:17Z</dcterms:created>
  <dcterms:modified xsi:type="dcterms:W3CDTF">2026-03-24T17:27:38Z</dcterms:modified>
</cp:coreProperties>
</file>